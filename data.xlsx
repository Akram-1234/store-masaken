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المصري\"/>
    </mc:Choice>
  </mc:AlternateContent>
  <xr:revisionPtr revIDLastSave="0" documentId="13_ncr:1_{6797A297-4CAD-48C5-86C4-B30C954D2236}" xr6:coauthVersionLast="47" xr6:coauthVersionMax="47" xr10:uidLastSave="{00000000-0000-0000-0000-000000000000}"/>
  <bookViews>
    <workbookView xWindow="-110" yWindow="-110" windowWidth="25820" windowHeight="15500" xr2:uid="{9343A25C-0B88-4B0B-A742-86A483E39D84}"/>
  </bookViews>
  <sheets>
    <sheet name="ورقة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94" i="1" l="1"/>
  <c r="D394" i="1"/>
  <c r="C394" i="1"/>
  <c r="E393" i="1"/>
  <c r="D393" i="1"/>
  <c r="C393" i="1"/>
  <c r="E392" i="1"/>
  <c r="D392" i="1"/>
  <c r="C392" i="1"/>
  <c r="E391" i="1"/>
  <c r="D391" i="1"/>
  <c r="C391" i="1"/>
  <c r="E390" i="1"/>
  <c r="D390" i="1"/>
  <c r="C390" i="1"/>
  <c r="E389" i="1"/>
  <c r="D389" i="1"/>
  <c r="C389" i="1"/>
  <c r="E388" i="1"/>
  <c r="D388" i="1"/>
  <c r="C388" i="1"/>
  <c r="E387" i="1"/>
  <c r="D387" i="1"/>
  <c r="C387" i="1"/>
  <c r="E386" i="1"/>
  <c r="D386" i="1"/>
  <c r="C386" i="1"/>
  <c r="E385" i="1"/>
  <c r="D385" i="1"/>
  <c r="C385" i="1"/>
  <c r="E384" i="1"/>
  <c r="D384" i="1"/>
  <c r="C384" i="1"/>
  <c r="E383" i="1"/>
  <c r="D383" i="1"/>
  <c r="C383" i="1"/>
  <c r="E382" i="1"/>
  <c r="D382" i="1"/>
  <c r="C382" i="1"/>
  <c r="E381" i="1"/>
  <c r="D381" i="1"/>
  <c r="C381" i="1"/>
  <c r="E380" i="1"/>
  <c r="D380" i="1"/>
  <c r="C380" i="1"/>
  <c r="E379" i="1"/>
  <c r="D379" i="1"/>
  <c r="C379" i="1"/>
  <c r="E378" i="1"/>
  <c r="D378" i="1"/>
  <c r="C378" i="1"/>
  <c r="E377" i="1"/>
  <c r="D377" i="1"/>
  <c r="C377" i="1"/>
  <c r="E376" i="1"/>
  <c r="D376" i="1"/>
  <c r="C376" i="1"/>
  <c r="E375" i="1"/>
  <c r="D375" i="1"/>
  <c r="C375" i="1"/>
  <c r="E374" i="1"/>
  <c r="D374" i="1"/>
  <c r="C374" i="1"/>
  <c r="E373" i="1"/>
  <c r="D373" i="1"/>
  <c r="C373" i="1"/>
  <c r="E372" i="1"/>
  <c r="D372" i="1"/>
  <c r="C372" i="1"/>
  <c r="E371" i="1"/>
  <c r="D371" i="1"/>
  <c r="C371" i="1"/>
  <c r="E370" i="1"/>
  <c r="D370" i="1"/>
  <c r="C370" i="1"/>
  <c r="E369" i="1"/>
  <c r="D369" i="1"/>
  <c r="C369" i="1"/>
  <c r="E368" i="1"/>
  <c r="D368" i="1"/>
  <c r="C368" i="1"/>
  <c r="E367" i="1"/>
  <c r="D367" i="1"/>
  <c r="C367" i="1"/>
  <c r="E366" i="1"/>
  <c r="D366" i="1"/>
  <c r="C366" i="1"/>
  <c r="E365" i="1"/>
  <c r="D365" i="1"/>
  <c r="C365" i="1"/>
  <c r="E364" i="1"/>
  <c r="D364" i="1"/>
  <c r="C364" i="1"/>
  <c r="E363" i="1"/>
  <c r="D363" i="1"/>
  <c r="C363" i="1"/>
  <c r="E362" i="1"/>
  <c r="D362" i="1"/>
  <c r="C362" i="1"/>
  <c r="E361" i="1"/>
  <c r="D361" i="1"/>
  <c r="C361" i="1"/>
  <c r="E360" i="1"/>
  <c r="D360" i="1"/>
  <c r="C360" i="1"/>
  <c r="E359" i="1"/>
  <c r="D359" i="1"/>
  <c r="C359" i="1"/>
  <c r="E358" i="1"/>
  <c r="D358" i="1"/>
  <c r="C358" i="1"/>
  <c r="E357" i="1"/>
  <c r="D357" i="1"/>
  <c r="C357" i="1"/>
  <c r="E356" i="1"/>
  <c r="D356" i="1"/>
  <c r="C356" i="1"/>
  <c r="E355" i="1"/>
  <c r="D355" i="1"/>
  <c r="C355" i="1"/>
  <c r="E354" i="1"/>
  <c r="D354" i="1"/>
  <c r="C354" i="1"/>
  <c r="E353" i="1"/>
  <c r="D353" i="1"/>
  <c r="C353" i="1"/>
  <c r="E352" i="1"/>
  <c r="D352" i="1"/>
  <c r="C352" i="1"/>
  <c r="E351" i="1"/>
  <c r="D351" i="1"/>
  <c r="C351" i="1"/>
  <c r="E350" i="1"/>
  <c r="D350" i="1"/>
  <c r="C350" i="1"/>
  <c r="E349" i="1"/>
  <c r="D349" i="1"/>
  <c r="C349" i="1"/>
  <c r="E348" i="1"/>
  <c r="D348" i="1"/>
  <c r="C348" i="1"/>
  <c r="E347" i="1"/>
  <c r="D347" i="1"/>
  <c r="C347" i="1"/>
  <c r="E346" i="1"/>
  <c r="D346" i="1"/>
  <c r="C346" i="1"/>
  <c r="E345" i="1"/>
  <c r="D345" i="1"/>
  <c r="C345" i="1"/>
  <c r="E344" i="1"/>
  <c r="D344" i="1"/>
  <c r="C344" i="1"/>
  <c r="E343" i="1"/>
  <c r="D343" i="1"/>
  <c r="C343" i="1"/>
  <c r="E342" i="1"/>
  <c r="D342" i="1"/>
  <c r="C342" i="1"/>
  <c r="E341" i="1"/>
  <c r="D341" i="1"/>
  <c r="C341" i="1"/>
  <c r="E340" i="1"/>
  <c r="D340" i="1"/>
  <c r="C340" i="1"/>
  <c r="E339" i="1"/>
  <c r="D339" i="1"/>
  <c r="C339" i="1"/>
  <c r="E338" i="1"/>
  <c r="D338" i="1"/>
  <c r="C338" i="1"/>
  <c r="E337" i="1"/>
  <c r="D337" i="1"/>
  <c r="C337" i="1"/>
  <c r="E336" i="1"/>
  <c r="D336" i="1"/>
  <c r="C336" i="1"/>
  <c r="E335" i="1"/>
  <c r="D335" i="1"/>
  <c r="C335" i="1"/>
  <c r="E334" i="1"/>
  <c r="D334" i="1"/>
  <c r="C334" i="1"/>
  <c r="E333" i="1"/>
  <c r="D333" i="1"/>
  <c r="C333" i="1"/>
  <c r="E332" i="1"/>
  <c r="D332" i="1"/>
  <c r="C332" i="1"/>
  <c r="E331" i="1"/>
  <c r="D331" i="1"/>
  <c r="C331" i="1"/>
  <c r="E330" i="1"/>
  <c r="D330" i="1"/>
  <c r="C330" i="1"/>
  <c r="E329" i="1"/>
  <c r="D329" i="1"/>
  <c r="C329" i="1"/>
  <c r="E328" i="1"/>
  <c r="D328" i="1"/>
  <c r="C328" i="1"/>
  <c r="E327" i="1"/>
  <c r="D327" i="1"/>
  <c r="C327" i="1"/>
  <c r="E326" i="1"/>
  <c r="D326" i="1"/>
  <c r="C326" i="1"/>
  <c r="E325" i="1"/>
  <c r="D325" i="1"/>
  <c r="C325" i="1"/>
  <c r="E324" i="1"/>
  <c r="D324" i="1"/>
  <c r="C324" i="1"/>
  <c r="E323" i="1"/>
  <c r="D323" i="1"/>
  <c r="C323" i="1"/>
  <c r="E322" i="1"/>
  <c r="D322" i="1"/>
  <c r="C322" i="1"/>
  <c r="E321" i="1"/>
  <c r="D321" i="1"/>
  <c r="C321" i="1"/>
  <c r="E320" i="1"/>
  <c r="D320" i="1"/>
  <c r="C320" i="1"/>
  <c r="E319" i="1"/>
  <c r="D319" i="1"/>
  <c r="C319" i="1"/>
  <c r="E318" i="1"/>
  <c r="D318" i="1"/>
  <c r="C318" i="1"/>
  <c r="E317" i="1"/>
  <c r="D317" i="1"/>
  <c r="C317" i="1"/>
  <c r="E316" i="1"/>
  <c r="D316" i="1"/>
  <c r="C316" i="1"/>
  <c r="E315" i="1"/>
  <c r="D315" i="1"/>
  <c r="C315" i="1"/>
  <c r="E314" i="1"/>
  <c r="D314" i="1"/>
  <c r="C314" i="1"/>
  <c r="E313" i="1"/>
  <c r="D313" i="1"/>
  <c r="C313" i="1"/>
  <c r="E312" i="1"/>
  <c r="D312" i="1"/>
  <c r="C312" i="1"/>
  <c r="E311" i="1"/>
  <c r="D311" i="1"/>
  <c r="C311" i="1"/>
  <c r="E310" i="1"/>
  <c r="D310" i="1"/>
  <c r="C310" i="1"/>
  <c r="E309" i="1"/>
  <c r="D309" i="1"/>
  <c r="C309" i="1"/>
  <c r="E308" i="1"/>
  <c r="D308" i="1"/>
  <c r="C308" i="1"/>
  <c r="E307" i="1"/>
  <c r="D307" i="1"/>
  <c r="C307" i="1"/>
  <c r="E306" i="1"/>
  <c r="D306" i="1"/>
  <c r="C306" i="1"/>
  <c r="E305" i="1"/>
  <c r="D305" i="1"/>
  <c r="C305" i="1"/>
  <c r="E304" i="1"/>
  <c r="D304" i="1"/>
  <c r="C304" i="1"/>
  <c r="E303" i="1"/>
  <c r="D303" i="1"/>
  <c r="C303" i="1"/>
  <c r="E302" i="1"/>
  <c r="D302" i="1"/>
  <c r="C302" i="1"/>
  <c r="E301" i="1"/>
  <c r="D301" i="1"/>
  <c r="C301" i="1"/>
  <c r="E300" i="1"/>
  <c r="D300" i="1"/>
  <c r="C300" i="1"/>
  <c r="E299" i="1"/>
  <c r="D299" i="1"/>
  <c r="C299" i="1"/>
  <c r="E298" i="1"/>
  <c r="D298" i="1"/>
  <c r="C298" i="1"/>
  <c r="E297" i="1"/>
  <c r="D297" i="1"/>
  <c r="C297" i="1"/>
  <c r="E296" i="1"/>
  <c r="D296" i="1"/>
  <c r="C296" i="1"/>
  <c r="E295" i="1"/>
  <c r="D295" i="1"/>
  <c r="C295" i="1"/>
  <c r="E294" i="1"/>
  <c r="D294" i="1"/>
  <c r="C294" i="1"/>
  <c r="E293" i="1"/>
  <c r="D293" i="1"/>
  <c r="C293" i="1"/>
  <c r="E292" i="1"/>
  <c r="D292" i="1"/>
  <c r="C292" i="1"/>
  <c r="E291" i="1"/>
  <c r="D291" i="1"/>
  <c r="C291" i="1"/>
  <c r="E290" i="1"/>
  <c r="D290" i="1"/>
  <c r="C290" i="1"/>
  <c r="E289" i="1"/>
  <c r="D289" i="1"/>
  <c r="C289" i="1"/>
  <c r="E288" i="1"/>
  <c r="D288" i="1"/>
  <c r="C288" i="1"/>
  <c r="E287" i="1"/>
  <c r="D287" i="1"/>
  <c r="C287" i="1"/>
  <c r="E286" i="1"/>
  <c r="D286" i="1"/>
  <c r="C286" i="1"/>
  <c r="E285" i="1"/>
  <c r="D285" i="1"/>
  <c r="C285" i="1"/>
  <c r="E284" i="1"/>
  <c r="D284" i="1"/>
  <c r="C284" i="1"/>
  <c r="E283" i="1"/>
  <c r="D283" i="1"/>
  <c r="C283" i="1"/>
  <c r="E282" i="1"/>
  <c r="D282" i="1"/>
  <c r="C282" i="1"/>
  <c r="E281" i="1"/>
  <c r="D281" i="1"/>
  <c r="C281" i="1"/>
  <c r="E280" i="1"/>
  <c r="D280" i="1"/>
  <c r="C280" i="1"/>
  <c r="E279" i="1"/>
  <c r="D279" i="1"/>
  <c r="C279" i="1"/>
  <c r="E278" i="1"/>
  <c r="D278" i="1"/>
  <c r="C278" i="1"/>
  <c r="E277" i="1"/>
  <c r="D277" i="1"/>
  <c r="C277" i="1"/>
  <c r="E276" i="1"/>
  <c r="D276" i="1"/>
  <c r="C276" i="1"/>
  <c r="E275" i="1"/>
  <c r="D275" i="1"/>
  <c r="C275" i="1"/>
  <c r="E274" i="1"/>
  <c r="D274" i="1"/>
  <c r="C274" i="1"/>
  <c r="E273" i="1"/>
  <c r="D273" i="1"/>
  <c r="C273" i="1"/>
  <c r="E272" i="1"/>
  <c r="D272" i="1"/>
  <c r="C272" i="1"/>
  <c r="E271" i="1"/>
  <c r="D271" i="1"/>
  <c r="C271" i="1"/>
  <c r="E270" i="1"/>
  <c r="D270" i="1"/>
  <c r="C270" i="1"/>
  <c r="E269" i="1"/>
  <c r="D269" i="1"/>
  <c r="C269" i="1"/>
  <c r="E268" i="1"/>
  <c r="D268" i="1"/>
  <c r="C268" i="1"/>
  <c r="E267" i="1"/>
  <c r="D267" i="1"/>
  <c r="C267" i="1"/>
  <c r="E266" i="1"/>
  <c r="D266" i="1"/>
  <c r="C266" i="1"/>
  <c r="E265" i="1"/>
  <c r="D265" i="1"/>
  <c r="C265" i="1"/>
  <c r="E264" i="1"/>
  <c r="D264" i="1"/>
  <c r="C264" i="1"/>
  <c r="E263" i="1"/>
  <c r="D263" i="1"/>
  <c r="C263" i="1"/>
  <c r="E262" i="1"/>
  <c r="D262" i="1"/>
  <c r="C262" i="1"/>
  <c r="E261" i="1"/>
  <c r="D261" i="1"/>
  <c r="C261" i="1"/>
  <c r="E260" i="1"/>
  <c r="D260" i="1"/>
  <c r="C260" i="1"/>
  <c r="E259" i="1"/>
  <c r="D259" i="1"/>
  <c r="C259" i="1"/>
  <c r="E258" i="1"/>
  <c r="D258" i="1"/>
  <c r="C258" i="1"/>
  <c r="E257" i="1"/>
  <c r="D257" i="1"/>
  <c r="C257" i="1"/>
  <c r="E256" i="1"/>
  <c r="D256" i="1"/>
  <c r="C256" i="1"/>
  <c r="E255" i="1"/>
  <c r="D255" i="1"/>
  <c r="C255" i="1"/>
  <c r="E254" i="1"/>
  <c r="D254" i="1"/>
  <c r="C254" i="1"/>
  <c r="E253" i="1"/>
  <c r="D253" i="1"/>
  <c r="C253" i="1"/>
  <c r="E252" i="1"/>
  <c r="D252" i="1"/>
  <c r="C252" i="1"/>
  <c r="E251" i="1"/>
  <c r="D251" i="1"/>
  <c r="C251" i="1"/>
  <c r="E250" i="1"/>
  <c r="D250" i="1"/>
  <c r="C250" i="1"/>
  <c r="E249" i="1"/>
  <c r="D249" i="1"/>
  <c r="C249" i="1"/>
  <c r="E248" i="1"/>
  <c r="D248" i="1"/>
  <c r="C248" i="1"/>
  <c r="E247" i="1"/>
  <c r="D247" i="1"/>
  <c r="C247" i="1"/>
  <c r="E246" i="1"/>
  <c r="D246" i="1"/>
  <c r="C246" i="1"/>
  <c r="E245" i="1"/>
  <c r="D245" i="1"/>
  <c r="C245" i="1"/>
  <c r="E244" i="1"/>
  <c r="D244" i="1"/>
  <c r="C244" i="1"/>
  <c r="E243" i="1"/>
  <c r="D243" i="1"/>
  <c r="C243" i="1"/>
  <c r="E242" i="1"/>
  <c r="D242" i="1"/>
  <c r="C242" i="1"/>
  <c r="E241" i="1"/>
  <c r="D241" i="1"/>
  <c r="C241" i="1"/>
  <c r="E240" i="1"/>
  <c r="D240" i="1"/>
  <c r="C240" i="1"/>
  <c r="E239" i="1"/>
  <c r="D239" i="1"/>
  <c r="C239" i="1"/>
  <c r="E238" i="1"/>
  <c r="D238" i="1"/>
  <c r="C238" i="1"/>
  <c r="E237" i="1"/>
  <c r="D237" i="1"/>
  <c r="C237" i="1"/>
  <c r="E236" i="1"/>
  <c r="D236" i="1"/>
  <c r="C236" i="1"/>
  <c r="E235" i="1"/>
  <c r="D235" i="1"/>
  <c r="C235" i="1"/>
  <c r="E234" i="1"/>
  <c r="D234" i="1"/>
  <c r="C234" i="1"/>
  <c r="E233" i="1"/>
  <c r="D233" i="1"/>
  <c r="C233" i="1"/>
  <c r="E232" i="1"/>
  <c r="D232" i="1"/>
  <c r="C232" i="1"/>
  <c r="E231" i="1"/>
  <c r="D231" i="1"/>
  <c r="C231" i="1"/>
  <c r="E230" i="1"/>
  <c r="D230" i="1"/>
  <c r="C230" i="1"/>
  <c r="E229" i="1"/>
  <c r="D229" i="1"/>
  <c r="C229" i="1"/>
  <c r="E228" i="1"/>
  <c r="D228" i="1"/>
  <c r="C228" i="1"/>
  <c r="E227" i="1"/>
  <c r="D227" i="1"/>
  <c r="C227" i="1"/>
  <c r="E226" i="1"/>
  <c r="D226" i="1"/>
  <c r="C226" i="1"/>
  <c r="E225" i="1"/>
  <c r="D225" i="1"/>
  <c r="C225" i="1"/>
  <c r="E224" i="1"/>
  <c r="D224" i="1"/>
  <c r="C224" i="1"/>
  <c r="E223" i="1"/>
  <c r="D223" i="1"/>
  <c r="C223" i="1"/>
  <c r="E222" i="1"/>
  <c r="D222" i="1"/>
  <c r="C222" i="1"/>
  <c r="E221" i="1"/>
  <c r="D221" i="1"/>
  <c r="C221" i="1"/>
  <c r="E220" i="1"/>
  <c r="D220" i="1"/>
  <c r="C220" i="1"/>
  <c r="E219" i="1"/>
  <c r="D219" i="1"/>
  <c r="C219" i="1"/>
  <c r="E218" i="1"/>
  <c r="D218" i="1"/>
  <c r="C218" i="1"/>
  <c r="E217" i="1"/>
  <c r="D217" i="1"/>
  <c r="C217" i="1"/>
  <c r="E216" i="1"/>
  <c r="D216" i="1"/>
  <c r="C216" i="1"/>
  <c r="E215" i="1"/>
  <c r="D215" i="1"/>
  <c r="C215" i="1"/>
  <c r="E214" i="1"/>
  <c r="D214" i="1"/>
  <c r="C214" i="1"/>
  <c r="E213" i="1"/>
  <c r="D213" i="1"/>
  <c r="C213" i="1"/>
  <c r="E212" i="1"/>
  <c r="D212" i="1"/>
  <c r="C212" i="1"/>
  <c r="E211" i="1"/>
  <c r="D211" i="1"/>
  <c r="C211" i="1"/>
  <c r="E210" i="1"/>
  <c r="D210" i="1"/>
  <c r="C210" i="1"/>
  <c r="E209" i="1"/>
  <c r="D209" i="1"/>
  <c r="C209" i="1"/>
  <c r="E208" i="1"/>
  <c r="D208" i="1"/>
  <c r="C208" i="1"/>
  <c r="E207" i="1"/>
  <c r="D207" i="1"/>
  <c r="C207" i="1"/>
  <c r="E206" i="1"/>
  <c r="D206" i="1"/>
  <c r="C206" i="1"/>
  <c r="E205" i="1"/>
  <c r="D205" i="1"/>
  <c r="C205" i="1"/>
  <c r="E204" i="1"/>
  <c r="D204" i="1"/>
  <c r="C204" i="1"/>
  <c r="E203" i="1"/>
  <c r="D203" i="1"/>
  <c r="C203" i="1"/>
  <c r="E202" i="1"/>
  <c r="D202" i="1"/>
  <c r="C202" i="1"/>
  <c r="E201" i="1"/>
  <c r="D201" i="1"/>
  <c r="C201" i="1"/>
  <c r="E200" i="1"/>
  <c r="D200" i="1"/>
  <c r="C200" i="1"/>
  <c r="E199" i="1"/>
  <c r="D199" i="1"/>
  <c r="C199" i="1"/>
  <c r="E198" i="1"/>
  <c r="D198" i="1"/>
  <c r="C198" i="1"/>
  <c r="E197" i="1"/>
  <c r="D197" i="1"/>
  <c r="C197" i="1"/>
  <c r="E196" i="1"/>
  <c r="D196" i="1"/>
  <c r="C196" i="1"/>
  <c r="E195" i="1"/>
  <c r="D195" i="1"/>
  <c r="C195" i="1"/>
  <c r="E194" i="1"/>
  <c r="D194" i="1"/>
  <c r="C194" i="1"/>
  <c r="E193" i="1"/>
  <c r="D193" i="1"/>
  <c r="C193" i="1"/>
  <c r="E192" i="1"/>
  <c r="D192" i="1"/>
  <c r="C192" i="1"/>
  <c r="E191" i="1"/>
  <c r="D191" i="1"/>
  <c r="C191" i="1"/>
  <c r="E190" i="1"/>
  <c r="D190" i="1"/>
  <c r="C190" i="1"/>
  <c r="E189" i="1"/>
  <c r="D189" i="1"/>
  <c r="C189" i="1"/>
  <c r="E188" i="1"/>
  <c r="D188" i="1"/>
  <c r="C188" i="1"/>
  <c r="E187" i="1"/>
  <c r="D187" i="1"/>
  <c r="C187" i="1"/>
  <c r="E186" i="1"/>
  <c r="D186" i="1"/>
  <c r="C186" i="1"/>
  <c r="E185" i="1"/>
  <c r="D185" i="1"/>
  <c r="C185" i="1"/>
  <c r="E184" i="1"/>
  <c r="D184" i="1"/>
  <c r="C184" i="1"/>
  <c r="E183" i="1"/>
  <c r="D183" i="1"/>
  <c r="C183" i="1"/>
  <c r="E182" i="1"/>
  <c r="D182" i="1"/>
  <c r="C182" i="1"/>
  <c r="E181" i="1"/>
  <c r="D181" i="1"/>
  <c r="C181" i="1"/>
  <c r="E180" i="1"/>
  <c r="D180" i="1"/>
  <c r="C180" i="1"/>
  <c r="E179" i="1"/>
  <c r="D179" i="1"/>
  <c r="C179" i="1"/>
  <c r="E178" i="1"/>
  <c r="D178" i="1"/>
  <c r="C178" i="1"/>
  <c r="E177" i="1"/>
  <c r="D177" i="1"/>
  <c r="C177" i="1"/>
  <c r="E176" i="1"/>
  <c r="D176" i="1"/>
  <c r="C176" i="1"/>
  <c r="E175" i="1"/>
  <c r="D175" i="1"/>
  <c r="C175" i="1"/>
  <c r="E174" i="1"/>
  <c r="D174" i="1"/>
  <c r="C174" i="1"/>
  <c r="E173" i="1"/>
  <c r="D173" i="1"/>
  <c r="C173" i="1"/>
  <c r="E172" i="1"/>
  <c r="D172" i="1"/>
  <c r="C172" i="1"/>
  <c r="E171" i="1"/>
  <c r="D171" i="1"/>
  <c r="C171" i="1"/>
  <c r="E170" i="1"/>
  <c r="D170" i="1"/>
  <c r="C170" i="1"/>
  <c r="E169" i="1"/>
  <c r="D169" i="1"/>
  <c r="C169" i="1"/>
  <c r="E168" i="1"/>
  <c r="D168" i="1"/>
  <c r="C168" i="1"/>
  <c r="E167" i="1"/>
  <c r="D167" i="1"/>
  <c r="C167" i="1"/>
  <c r="E166" i="1"/>
  <c r="D166" i="1"/>
  <c r="C166" i="1"/>
  <c r="E165" i="1"/>
  <c r="D165" i="1"/>
  <c r="C165" i="1"/>
  <c r="E164" i="1"/>
  <c r="D164" i="1"/>
  <c r="C164" i="1"/>
  <c r="E163" i="1"/>
  <c r="D163" i="1"/>
  <c r="C163" i="1"/>
  <c r="E162" i="1"/>
  <c r="D162" i="1"/>
  <c r="C162" i="1"/>
  <c r="E161" i="1"/>
  <c r="D161" i="1"/>
  <c r="C161" i="1"/>
  <c r="E160" i="1"/>
  <c r="D160" i="1"/>
  <c r="C160" i="1"/>
  <c r="E159" i="1"/>
  <c r="D159" i="1"/>
  <c r="C159" i="1"/>
  <c r="E158" i="1"/>
  <c r="D158" i="1"/>
  <c r="C158" i="1"/>
  <c r="E157" i="1"/>
  <c r="D157" i="1"/>
  <c r="C157" i="1"/>
  <c r="E156" i="1"/>
  <c r="D156" i="1"/>
  <c r="C156" i="1"/>
  <c r="E155" i="1"/>
  <c r="D155" i="1"/>
  <c r="C155" i="1"/>
  <c r="E154" i="1"/>
  <c r="D154" i="1"/>
  <c r="C154" i="1"/>
  <c r="E153" i="1"/>
  <c r="D153" i="1"/>
  <c r="C153" i="1"/>
  <c r="E152" i="1"/>
  <c r="D152" i="1"/>
  <c r="C152" i="1"/>
  <c r="E151" i="1"/>
  <c r="D151" i="1"/>
  <c r="C151" i="1"/>
  <c r="E150" i="1"/>
  <c r="D150" i="1"/>
  <c r="C150" i="1"/>
  <c r="E149" i="1"/>
  <c r="D149" i="1"/>
  <c r="C149" i="1"/>
  <c r="E148" i="1"/>
  <c r="D148" i="1"/>
  <c r="C148" i="1"/>
  <c r="E147" i="1"/>
  <c r="D147" i="1"/>
  <c r="C147" i="1"/>
  <c r="E146" i="1"/>
  <c r="D146" i="1"/>
  <c r="C146" i="1"/>
  <c r="E145" i="1"/>
  <c r="D145" i="1"/>
  <c r="C145" i="1"/>
  <c r="E144" i="1"/>
  <c r="D144" i="1"/>
  <c r="C144" i="1"/>
  <c r="E143" i="1"/>
  <c r="D143" i="1"/>
  <c r="C143" i="1"/>
  <c r="E142" i="1"/>
  <c r="D142" i="1"/>
  <c r="C142" i="1"/>
  <c r="E141" i="1"/>
  <c r="D141" i="1"/>
  <c r="C141" i="1"/>
  <c r="E140" i="1"/>
  <c r="D140" i="1"/>
  <c r="C140" i="1"/>
  <c r="E139" i="1"/>
  <c r="D139" i="1"/>
  <c r="C139" i="1"/>
  <c r="E138" i="1"/>
  <c r="D138" i="1"/>
  <c r="C138" i="1"/>
  <c r="E137" i="1"/>
  <c r="D137" i="1"/>
  <c r="C137" i="1"/>
  <c r="E136" i="1"/>
  <c r="D136" i="1"/>
  <c r="C136" i="1"/>
  <c r="E135" i="1"/>
  <c r="D135" i="1"/>
  <c r="C135" i="1"/>
  <c r="E134" i="1"/>
  <c r="D134" i="1"/>
  <c r="C134" i="1"/>
  <c r="E133" i="1"/>
  <c r="D133" i="1"/>
  <c r="C133" i="1"/>
  <c r="E132" i="1"/>
  <c r="D132" i="1"/>
  <c r="C132" i="1"/>
  <c r="E131" i="1"/>
  <c r="D131" i="1"/>
  <c r="C131" i="1"/>
  <c r="E130" i="1"/>
  <c r="D130" i="1"/>
  <c r="C130" i="1"/>
  <c r="E129" i="1"/>
  <c r="D129" i="1"/>
  <c r="C129" i="1"/>
  <c r="E128" i="1"/>
  <c r="D128" i="1"/>
  <c r="C128" i="1"/>
  <c r="E127" i="1"/>
  <c r="D127" i="1"/>
  <c r="C127" i="1"/>
  <c r="E126" i="1"/>
  <c r="D126" i="1"/>
  <c r="C126" i="1"/>
  <c r="E125" i="1"/>
  <c r="D125" i="1"/>
  <c r="C125" i="1"/>
  <c r="E124" i="1"/>
  <c r="D124" i="1"/>
  <c r="C124" i="1"/>
  <c r="E123" i="1"/>
  <c r="D123" i="1"/>
  <c r="C123" i="1"/>
  <c r="E122" i="1"/>
  <c r="D122" i="1"/>
  <c r="C122" i="1"/>
  <c r="E121" i="1"/>
  <c r="D121" i="1"/>
  <c r="C121" i="1"/>
  <c r="E120" i="1"/>
  <c r="D120" i="1"/>
  <c r="C120" i="1"/>
  <c r="E119" i="1"/>
  <c r="D119" i="1"/>
  <c r="C119" i="1"/>
  <c r="E118" i="1"/>
  <c r="D118" i="1"/>
  <c r="C118" i="1"/>
  <c r="E117" i="1"/>
  <c r="D117" i="1"/>
  <c r="C117" i="1"/>
  <c r="E116" i="1"/>
  <c r="D116" i="1"/>
  <c r="C116" i="1"/>
  <c r="E115" i="1"/>
  <c r="D115" i="1"/>
  <c r="C115" i="1"/>
  <c r="E114" i="1"/>
  <c r="D114" i="1"/>
  <c r="C114" i="1"/>
  <c r="E113" i="1"/>
  <c r="D113" i="1"/>
  <c r="C113" i="1"/>
  <c r="E112" i="1"/>
  <c r="D112" i="1"/>
  <c r="C112" i="1"/>
  <c r="E111" i="1"/>
  <c r="D111" i="1"/>
  <c r="C111" i="1"/>
  <c r="E110" i="1"/>
  <c r="D110" i="1"/>
  <c r="C110" i="1"/>
  <c r="E109" i="1"/>
  <c r="D109" i="1"/>
  <c r="C109" i="1"/>
  <c r="E108" i="1"/>
  <c r="D108" i="1"/>
  <c r="C108" i="1"/>
  <c r="E107" i="1"/>
  <c r="D107" i="1"/>
  <c r="C107" i="1"/>
  <c r="E106" i="1"/>
  <c r="D106" i="1"/>
  <c r="C106" i="1"/>
  <c r="E105" i="1"/>
  <c r="D105" i="1"/>
  <c r="C105" i="1"/>
  <c r="E104" i="1"/>
  <c r="D104" i="1"/>
  <c r="C104" i="1"/>
  <c r="E103" i="1"/>
  <c r="D103" i="1"/>
  <c r="C103" i="1"/>
  <c r="E102" i="1"/>
  <c r="D102" i="1"/>
  <c r="C102" i="1"/>
  <c r="E101" i="1"/>
  <c r="D101" i="1"/>
  <c r="C101" i="1"/>
  <c r="E100" i="1"/>
  <c r="D100" i="1"/>
  <c r="C100" i="1"/>
  <c r="E99" i="1"/>
  <c r="D99" i="1"/>
  <c r="C99" i="1"/>
  <c r="E98" i="1"/>
  <c r="D98" i="1"/>
  <c r="C98" i="1"/>
  <c r="E97" i="1"/>
  <c r="D97" i="1"/>
  <c r="C97" i="1"/>
  <c r="E96" i="1"/>
  <c r="D96" i="1"/>
  <c r="C96" i="1"/>
  <c r="E95" i="1"/>
  <c r="D95" i="1"/>
  <c r="C95" i="1"/>
  <c r="E94" i="1"/>
  <c r="D94" i="1"/>
  <c r="C94" i="1"/>
  <c r="E93" i="1"/>
  <c r="D93" i="1"/>
  <c r="C93" i="1"/>
  <c r="E92" i="1"/>
  <c r="D92" i="1"/>
  <c r="C92" i="1"/>
  <c r="E91" i="1"/>
  <c r="D91" i="1"/>
  <c r="C91" i="1"/>
  <c r="E90" i="1"/>
  <c r="D90" i="1"/>
  <c r="C90" i="1"/>
  <c r="E89" i="1"/>
  <c r="D89" i="1"/>
  <c r="C89" i="1"/>
  <c r="E88" i="1"/>
  <c r="D88" i="1"/>
  <c r="C88" i="1"/>
  <c r="E87" i="1"/>
  <c r="D87" i="1"/>
  <c r="C87" i="1"/>
  <c r="E86" i="1"/>
  <c r="D86" i="1"/>
  <c r="C86" i="1"/>
  <c r="E85" i="1"/>
  <c r="D85" i="1"/>
  <c r="C85" i="1"/>
  <c r="E84" i="1"/>
  <c r="D84" i="1"/>
  <c r="C84" i="1"/>
  <c r="E83" i="1"/>
  <c r="D83" i="1"/>
  <c r="C83" i="1"/>
  <c r="E82" i="1"/>
  <c r="D82" i="1"/>
  <c r="C82" i="1"/>
  <c r="E81" i="1"/>
  <c r="D81" i="1"/>
  <c r="C81" i="1"/>
  <c r="E80" i="1"/>
  <c r="D80" i="1"/>
  <c r="C80" i="1"/>
  <c r="E79" i="1"/>
  <c r="D79" i="1"/>
  <c r="C79" i="1"/>
  <c r="E78" i="1"/>
  <c r="D78" i="1"/>
  <c r="C78" i="1"/>
  <c r="E77" i="1"/>
  <c r="D77" i="1"/>
  <c r="C77" i="1"/>
  <c r="E76" i="1"/>
  <c r="D76" i="1"/>
  <c r="C76" i="1"/>
  <c r="E75" i="1"/>
  <c r="D75" i="1"/>
  <c r="C75" i="1"/>
  <c r="E74" i="1"/>
  <c r="D74" i="1"/>
  <c r="C74" i="1"/>
  <c r="E73" i="1"/>
  <c r="D73" i="1"/>
  <c r="C73" i="1"/>
  <c r="E72" i="1"/>
  <c r="D72" i="1"/>
  <c r="C72" i="1"/>
  <c r="E71" i="1"/>
  <c r="D71" i="1"/>
  <c r="C71" i="1"/>
  <c r="E70" i="1"/>
  <c r="D70" i="1"/>
  <c r="C70" i="1"/>
  <c r="E69" i="1"/>
  <c r="D69" i="1"/>
  <c r="C69" i="1"/>
  <c r="E68" i="1"/>
  <c r="D68" i="1"/>
  <c r="C68" i="1"/>
  <c r="E67" i="1"/>
  <c r="D67" i="1"/>
  <c r="C67" i="1"/>
  <c r="E66" i="1"/>
  <c r="D66" i="1"/>
  <c r="C66" i="1"/>
  <c r="E65" i="1"/>
  <c r="D65" i="1"/>
  <c r="C65" i="1"/>
  <c r="E64" i="1"/>
  <c r="D64" i="1"/>
  <c r="C64" i="1"/>
  <c r="E63" i="1"/>
  <c r="D63" i="1"/>
  <c r="C63" i="1"/>
  <c r="E62" i="1"/>
  <c r="D62" i="1"/>
  <c r="C62" i="1"/>
  <c r="E61" i="1"/>
  <c r="D61" i="1"/>
  <c r="C61" i="1"/>
  <c r="E60" i="1"/>
  <c r="D60" i="1"/>
  <c r="C60" i="1"/>
  <c r="E59" i="1"/>
  <c r="D59" i="1"/>
  <c r="C59" i="1"/>
  <c r="E58" i="1"/>
  <c r="D58" i="1"/>
  <c r="C58" i="1"/>
  <c r="E57" i="1"/>
  <c r="D57" i="1"/>
  <c r="C57" i="1"/>
  <c r="E56" i="1"/>
  <c r="D56" i="1"/>
  <c r="C56" i="1"/>
  <c r="E55" i="1"/>
  <c r="D55" i="1"/>
  <c r="C55" i="1"/>
  <c r="E54" i="1"/>
  <c r="D54" i="1"/>
  <c r="C54" i="1"/>
  <c r="E53" i="1"/>
  <c r="D53" i="1"/>
  <c r="C53" i="1"/>
  <c r="E52" i="1"/>
  <c r="D52" i="1"/>
  <c r="C52" i="1"/>
  <c r="E51" i="1"/>
  <c r="D51" i="1"/>
  <c r="C51" i="1"/>
  <c r="E50" i="1"/>
  <c r="D50" i="1"/>
  <c r="C50" i="1"/>
  <c r="E49" i="1"/>
  <c r="D49" i="1"/>
  <c r="C49" i="1"/>
  <c r="E48" i="1"/>
  <c r="D48" i="1"/>
  <c r="C48" i="1"/>
  <c r="E47" i="1"/>
  <c r="D47" i="1"/>
  <c r="C47" i="1"/>
  <c r="E46" i="1"/>
  <c r="D46" i="1"/>
  <c r="C46" i="1"/>
  <c r="E45" i="1"/>
  <c r="D45" i="1"/>
  <c r="C45" i="1"/>
  <c r="E44" i="1"/>
  <c r="D44" i="1"/>
  <c r="C44" i="1"/>
  <c r="E43" i="1"/>
  <c r="D43" i="1"/>
  <c r="C43" i="1"/>
  <c r="E42" i="1"/>
  <c r="D42" i="1"/>
  <c r="C42" i="1"/>
  <c r="E41" i="1"/>
  <c r="D41" i="1"/>
  <c r="C41" i="1"/>
  <c r="E40" i="1"/>
  <c r="D40" i="1"/>
  <c r="C40" i="1"/>
  <c r="E39" i="1"/>
  <c r="D39" i="1"/>
  <c r="C39" i="1"/>
  <c r="E38" i="1"/>
  <c r="D38" i="1"/>
  <c r="C38" i="1"/>
  <c r="E37" i="1"/>
  <c r="D37" i="1"/>
  <c r="C37" i="1"/>
  <c r="E36" i="1"/>
  <c r="D36" i="1"/>
  <c r="C36" i="1"/>
  <c r="E35" i="1"/>
  <c r="D35" i="1"/>
  <c r="C35" i="1"/>
  <c r="E34" i="1"/>
  <c r="D34" i="1"/>
  <c r="C34" i="1"/>
  <c r="E33" i="1"/>
  <c r="D33" i="1"/>
  <c r="C33" i="1"/>
  <c r="E32" i="1"/>
  <c r="D32" i="1"/>
  <c r="C32" i="1"/>
  <c r="E31" i="1"/>
  <c r="D31" i="1"/>
  <c r="C31" i="1"/>
  <c r="E30" i="1"/>
  <c r="D30" i="1"/>
  <c r="C30" i="1"/>
  <c r="E29" i="1"/>
  <c r="D29" i="1"/>
  <c r="C29" i="1"/>
  <c r="E28" i="1"/>
  <c r="D28" i="1"/>
  <c r="C28" i="1"/>
  <c r="E27" i="1"/>
  <c r="D27" i="1"/>
  <c r="C27" i="1"/>
  <c r="E26" i="1"/>
  <c r="D26" i="1"/>
  <c r="C26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E4" i="1"/>
  <c r="D4" i="1"/>
  <c r="C4" i="1"/>
  <c r="E3" i="1"/>
  <c r="D3" i="1"/>
  <c r="C3" i="1"/>
  <c r="E2" i="1"/>
  <c r="D2" i="1"/>
  <c r="C2" i="1"/>
</calcChain>
</file>

<file path=xl/sharedStrings.xml><?xml version="1.0" encoding="utf-8"?>
<sst xmlns="http://schemas.openxmlformats.org/spreadsheetml/2006/main" count="791" uniqueCount="791">
  <si>
    <t>اسم الزيت</t>
  </si>
  <si>
    <t>كود الزيت</t>
  </si>
  <si>
    <t>الكمية الحالية (غ)</t>
  </si>
  <si>
    <t>رقم الخزانة</t>
  </si>
  <si>
    <t>رقم الرف</t>
  </si>
  <si>
    <t>اترنتي كالفين كلاين - نسائي</t>
  </si>
  <si>
    <t>0004-W</t>
  </si>
  <si>
    <t>اربابورا  سوسبيرو - رجالي</t>
  </si>
  <si>
    <t>0008-M</t>
  </si>
  <si>
    <t>اربيان تونكا مونتال - للجنسين</t>
  </si>
  <si>
    <t>0009-U</t>
  </si>
  <si>
    <t>ازارو  كروم ليجينت  - رجالي</t>
  </si>
  <si>
    <t>0011-M</t>
  </si>
  <si>
    <t>ازارو كروم - رجالي</t>
  </si>
  <si>
    <t>0013-M</t>
  </si>
  <si>
    <t>ازارو وانتد غيرل - نسائي</t>
  </si>
  <si>
    <t>0014-W</t>
  </si>
  <si>
    <t>اسنترك ماليكولاس 002 -للجنسين</t>
  </si>
  <si>
    <t>0017-U</t>
  </si>
  <si>
    <t>اسينشال لاكوست - رجالي</t>
  </si>
  <si>
    <t>0018-M</t>
  </si>
  <si>
    <t>اكسترا فاغانس - مستودع</t>
  </si>
  <si>
    <t>0022-S</t>
  </si>
  <si>
    <t>اكسينتو اكس ارجوف - للجنسين</t>
  </si>
  <si>
    <t>0023-U</t>
  </si>
  <si>
    <t>اكوا برافا - بينو سيلفيستر - رجالي</t>
  </si>
  <si>
    <t>0024-M</t>
  </si>
  <si>
    <t>اكوا دي جيو جورجيو ارماني - رجالي</t>
  </si>
  <si>
    <t>0025-M</t>
  </si>
  <si>
    <t>الثائر بارفان دي مارلي - رجالي</t>
  </si>
  <si>
    <t>0027-M</t>
  </si>
  <si>
    <t>الكسندريا 2 اكس زارجوف - رجالي</t>
  </si>
  <si>
    <t>0028-M</t>
  </si>
  <si>
    <t>الور هوم سبورت شانيل - رجالي</t>
  </si>
  <si>
    <t>0030-M</t>
  </si>
  <si>
    <t>امبري لذر توم فورد - رجالي</t>
  </si>
  <si>
    <t>0031-M</t>
  </si>
  <si>
    <t>امبريال فاليه قصة - للجنسين</t>
  </si>
  <si>
    <t>0032-U</t>
  </si>
  <si>
    <t>امريكان سبريت امريكان - رجالي</t>
  </si>
  <si>
    <t>0034-M</t>
  </si>
  <si>
    <t>انجل بورفام - نسائي</t>
  </si>
  <si>
    <t>0035-W</t>
  </si>
  <si>
    <t>انرجايس هوغو - رجالي</t>
  </si>
  <si>
    <t>0036-M</t>
  </si>
  <si>
    <t xml:space="preserve">اني نيشاني - للجنسين </t>
  </si>
  <si>
    <t>0041-U</t>
  </si>
  <si>
    <t>انيس انيس - نسائي</t>
  </si>
  <si>
    <t>0042-W</t>
  </si>
  <si>
    <t>اوريغانزا جيفينشي - نسائي</t>
  </si>
  <si>
    <t>0044-W</t>
  </si>
  <si>
    <t>اوشن لونج سكادة - نسائي</t>
  </si>
  <si>
    <t>0046-W</t>
  </si>
  <si>
    <t>ايجوست بلاتينيوم شانيل - رجالي</t>
  </si>
  <si>
    <t>0049-M</t>
  </si>
  <si>
    <t>ايدول لانكوم - نسائي</t>
  </si>
  <si>
    <t>0050-W</t>
  </si>
  <si>
    <t>ايلي صعب - نسائي</t>
  </si>
  <si>
    <t>0058-W</t>
  </si>
  <si>
    <t>ايماجينيشن L.V - رجالي</t>
  </si>
  <si>
    <t>0061-M</t>
  </si>
  <si>
    <t>باد بوي كارولينا هيريرا - رجالي</t>
  </si>
  <si>
    <t>0063-M</t>
  </si>
  <si>
    <t xml:space="preserve">بارادايس غاردن  جامبول غويته - رجالي </t>
  </si>
  <si>
    <t>0065-M</t>
  </si>
  <si>
    <t>باراديسو روبيرتو كافالي  - نسائي</t>
  </si>
  <si>
    <t>0066-W</t>
  </si>
  <si>
    <t>باشا دي كارتير - رجالي</t>
  </si>
  <si>
    <t>0071-M</t>
  </si>
  <si>
    <t>بخور العرائس ارض الزعفران -للجنسين</t>
  </si>
  <si>
    <t>0074-U</t>
  </si>
  <si>
    <t>بربل ليبل USA -رجالي</t>
  </si>
  <si>
    <t>0078-M</t>
  </si>
  <si>
    <t>بربري فور هير - نسائي</t>
  </si>
  <si>
    <t>0079-W</t>
  </si>
  <si>
    <t>بروت  -رجالي</t>
  </si>
  <si>
    <t>0083-M</t>
  </si>
  <si>
    <t>بريميير - همر - رجالي</t>
  </si>
  <si>
    <t>0084-M</t>
  </si>
  <si>
    <t>بكرات روج mfk -للجنسين</t>
  </si>
  <si>
    <t>0085-U</t>
  </si>
  <si>
    <t>بلاك افغانو ناسوماتو - للجنسين</t>
  </si>
  <si>
    <t>0086-U</t>
  </si>
  <si>
    <t>بلاك اوبيوم Y.S.L - نسائي</t>
  </si>
  <si>
    <t>0091-W</t>
  </si>
  <si>
    <t>بليجرز  استي لودر - نسائي</t>
  </si>
  <si>
    <t>0099-W</t>
  </si>
  <si>
    <t>0100-U</t>
  </si>
  <si>
    <t>بتلد بوس - رجالي</t>
  </si>
  <si>
    <t>0103-M</t>
  </si>
  <si>
    <t>بودي بربري -نسائي</t>
  </si>
  <si>
    <t>0104-W</t>
  </si>
  <si>
    <t>بولو بلو - رجالي</t>
  </si>
  <si>
    <t>0110-M</t>
  </si>
  <si>
    <t>بومب شيل فيكتوريا سيكرت - نسائي</t>
  </si>
  <si>
    <t>0111-W</t>
  </si>
  <si>
    <t>بيكوز اتس يو امبريو ارماني - نسائي</t>
  </si>
  <si>
    <t>0116-W</t>
  </si>
  <si>
    <t>بينك شيفون - يارا - نسائي</t>
  </si>
  <si>
    <t>0118-W</t>
  </si>
  <si>
    <t>بيور بوازون كريستيان ديور  نسائي</t>
  </si>
  <si>
    <t>0119-W</t>
  </si>
  <si>
    <t>تاتش اوف بينك لاكوست - نسائي</t>
  </si>
  <si>
    <t>0121-W</t>
  </si>
  <si>
    <t>تاج سنسيت سكادة - نسائي</t>
  </si>
  <si>
    <t>0122-W</t>
  </si>
  <si>
    <t>تشالينج لاكوست - رجالي</t>
  </si>
  <si>
    <t>0126-M</t>
  </si>
  <si>
    <t>تفاح - للجنسين</t>
  </si>
  <si>
    <t>0128-U</t>
  </si>
  <si>
    <t xml:space="preserve">توباكو فانيل توم فورد - للجنسين </t>
  </si>
  <si>
    <t>0129-U</t>
  </si>
  <si>
    <t>توسكان لذر توم فورد - للجنسين</t>
  </si>
  <si>
    <t>0131-U</t>
  </si>
  <si>
    <t>جادور كريستيان ديور - نسائي</t>
  </si>
  <si>
    <t>0138-W</t>
  </si>
  <si>
    <t>جاكومو كازا نوفا - رجالي</t>
  </si>
  <si>
    <t>0139-M</t>
  </si>
  <si>
    <t>جان فرانكوفيري - رجالي</t>
  </si>
  <si>
    <t>0141-M</t>
  </si>
  <si>
    <t>جوب بورهوم - رجالي</t>
  </si>
  <si>
    <t>0142-M</t>
  </si>
  <si>
    <t>جوي فل سكادة - نسائي</t>
  </si>
  <si>
    <t>0144-W</t>
  </si>
  <si>
    <t>جي جورجيو بيفرلي هيلز - نسائي</t>
  </si>
  <si>
    <t>0147-W</t>
  </si>
  <si>
    <t>خمرة قهوة لطافة -للجنسين</t>
  </si>
  <si>
    <t>0153-U</t>
  </si>
  <si>
    <t>خمرة لطافة - للجنسين</t>
  </si>
  <si>
    <t>0154-U</t>
  </si>
  <si>
    <t>دوف -  للجنسين</t>
  </si>
  <si>
    <t>0157-U</t>
  </si>
  <si>
    <t>ديزاير دينهيل - رجالي</t>
  </si>
  <si>
    <t>0159-M</t>
  </si>
  <si>
    <t>ديلينا بارفام ديمارلي - نسائي</t>
  </si>
  <si>
    <t>0160-W</t>
  </si>
  <si>
    <t>ذا غيم دافيدوف - رجالي</t>
  </si>
  <si>
    <t>0163-M</t>
  </si>
  <si>
    <t>راش غوتشي - نسائي</t>
  </si>
  <si>
    <t>0166-W</t>
  </si>
  <si>
    <t>رالف رولين - روج - نسائي</t>
  </si>
  <si>
    <t>0167-W</t>
  </si>
  <si>
    <t>روز اوف نومان باي ريدو - مستودع</t>
  </si>
  <si>
    <t>0170-S</t>
  </si>
  <si>
    <t>روز فانيل مانسيرا - للجنسين</t>
  </si>
  <si>
    <t>0171-U</t>
  </si>
  <si>
    <t xml:space="preserve">روز مسك مونتال - للجنسين </t>
  </si>
  <si>
    <t>0172-U</t>
  </si>
  <si>
    <t>رومانس رصاصي - نسائي</t>
  </si>
  <si>
    <t>0174-W</t>
  </si>
  <si>
    <t>رومبا - نسائي</t>
  </si>
  <si>
    <t>0175-W</t>
  </si>
  <si>
    <t>زهرة البنفسج -للجنسين</t>
  </si>
  <si>
    <t>0180-U</t>
  </si>
  <si>
    <t xml:space="preserve">زهرة التوليب - للجنسين </t>
  </si>
  <si>
    <t>0181-U</t>
  </si>
  <si>
    <t xml:space="preserve">زهرة لافندر - للجنسين </t>
  </si>
  <si>
    <t>0185-U</t>
  </si>
  <si>
    <t>زهرة ليلك - للجنسين</t>
  </si>
  <si>
    <t>0186-U</t>
  </si>
  <si>
    <t>سبايس بومب فيكتور رولف - رجالي</t>
  </si>
  <si>
    <t>0187-M</t>
  </si>
  <si>
    <t>سترونغر وذ يو امبريو ارماني - رجالي</t>
  </si>
  <si>
    <t>0189-M</t>
  </si>
  <si>
    <t>ستيلا - دي سيديلا - نسائي</t>
  </si>
  <si>
    <t>0192-W</t>
  </si>
  <si>
    <t>ستيلر تايم - ايمرالد - للجنسين</t>
  </si>
  <si>
    <t>0193-U</t>
  </si>
  <si>
    <t>سكاندل بايي نايت جامبول غوتيه -رجالي</t>
  </si>
  <si>
    <t>0194-M</t>
  </si>
  <si>
    <t>سكاندل بايي نايت جامبول غوتيه -نسائي</t>
  </si>
  <si>
    <t>0195-W</t>
  </si>
  <si>
    <t xml:space="preserve">سلك مسك رصاصي - لاكشري مسك - للجنسين </t>
  </si>
  <si>
    <t>0198-U</t>
  </si>
  <si>
    <t>سنشوال جوهان بي - نسائي</t>
  </si>
  <si>
    <t>0200-W</t>
  </si>
  <si>
    <t>سنو مان - سكلبيتشر - رجالي</t>
  </si>
  <si>
    <t>0201-M</t>
  </si>
  <si>
    <t>سوفاج الكسير كريستيان ديور - رجالي</t>
  </si>
  <si>
    <t>0202-M</t>
  </si>
  <si>
    <t>سوفاج كريستيان ديور - رجالي</t>
  </si>
  <si>
    <t>0203-M</t>
  </si>
  <si>
    <t>سي جورجيو ارماني - نسائي</t>
  </si>
  <si>
    <t>0207-W</t>
  </si>
  <si>
    <t>سي كي ون كالفين كلاين - رجالي</t>
  </si>
  <si>
    <t>0208-M</t>
  </si>
  <si>
    <t>سيكسي 212 كارولينا هيريرا - رجالي</t>
  </si>
  <si>
    <t>0211-M</t>
  </si>
  <si>
    <t>سيلفر داست - غبار الفضة - ميدنايت فانتازي - نسائي</t>
  </si>
  <si>
    <t>0214-W</t>
  </si>
  <si>
    <t>سيلفر مونتن - كريد ابيض - الوسام - رجالي</t>
  </si>
  <si>
    <t>0217-M</t>
  </si>
  <si>
    <t>شانص اوتندر شانيل - نسائي</t>
  </si>
  <si>
    <t>0218-W</t>
  </si>
  <si>
    <t>شانص شانيل - نسائي</t>
  </si>
  <si>
    <t>0219-W</t>
  </si>
  <si>
    <t>شيخ الشيوخ لطافة - للجنسين</t>
  </si>
  <si>
    <t>0225-U</t>
  </si>
  <si>
    <t>عنبر عود اجمل - للجنسين</t>
  </si>
  <si>
    <t>0226-U</t>
  </si>
  <si>
    <t>عود ابيض - رصاصي - للجنسين</t>
  </si>
  <si>
    <t>0228-U</t>
  </si>
  <si>
    <t>عود الابياد - إبراهيم القرشيي - للجنسين</t>
  </si>
  <si>
    <t>0229-U</t>
  </si>
  <si>
    <t>عود غوتشي - للجنسين</t>
  </si>
  <si>
    <t>0233-U</t>
  </si>
  <si>
    <t xml:space="preserve">عود فور غرتنس  اينيتيو - للجنسين </t>
  </si>
  <si>
    <t>0234-U</t>
  </si>
  <si>
    <t>عود مضاوي العربية للعود - للجنسين</t>
  </si>
  <si>
    <t>0237-U</t>
  </si>
  <si>
    <t>غود غيرل كارولينا هيريرا - نسائي</t>
  </si>
  <si>
    <t>0243-W</t>
  </si>
  <si>
    <t xml:space="preserve">غولدين داست -غبار الذهب - فانيل - للجنسين </t>
  </si>
  <si>
    <t>0244-U</t>
  </si>
  <si>
    <t xml:space="preserve">فا - للجنسين </t>
  </si>
  <si>
    <t>0246-U</t>
  </si>
  <si>
    <t xml:space="preserve">فانتازيا بريتني سبيرس - للجنسين </t>
  </si>
  <si>
    <t>0247-U</t>
  </si>
  <si>
    <t>فلانتينو بورن ان روما - نسائي</t>
  </si>
  <si>
    <t>0252-W</t>
  </si>
  <si>
    <t>فلانتينو في - دارج رصاصي - رجالي</t>
  </si>
  <si>
    <t>0253-M</t>
  </si>
  <si>
    <t xml:space="preserve">فلور مسك نارسيسو رودريغيز - للجنسين </t>
  </si>
  <si>
    <t>0256-U</t>
  </si>
  <si>
    <t xml:space="preserve">فلور ناركوتيك اكسنيهيلو - للجنسين </t>
  </si>
  <si>
    <t>0257-U</t>
  </si>
  <si>
    <t>فندي بورهوم - رجالي</t>
  </si>
  <si>
    <t>0259-M</t>
  </si>
  <si>
    <t>فهرنهايت كريستيان ديور - رجالي</t>
  </si>
  <si>
    <t>0260-M</t>
  </si>
  <si>
    <t xml:space="preserve">فوالا قصة - للجنسين </t>
  </si>
  <si>
    <t>0261-U</t>
  </si>
  <si>
    <t>فوياج  اراميس - رجالي</t>
  </si>
  <si>
    <t>0262-M</t>
  </si>
  <si>
    <t>في أي ابي 212كارولينا هيريرا - نسائي</t>
  </si>
  <si>
    <t>0264-W</t>
  </si>
  <si>
    <t>في أي بي 212 كارولينا هيريرا- رجالي</t>
  </si>
  <si>
    <t>0265-M</t>
  </si>
  <si>
    <t>كاريرا - زهرة الخليج - للجنسين</t>
  </si>
  <si>
    <t>0270-U</t>
  </si>
  <si>
    <t xml:space="preserve">كركي تزيانا تيرينزي - للجنسين </t>
  </si>
  <si>
    <t>0271-U</t>
  </si>
  <si>
    <t>كريستوبال -مستودع</t>
  </si>
  <si>
    <t>0273-S</t>
  </si>
  <si>
    <t>كلمات العربية للعود - للجنسين</t>
  </si>
  <si>
    <t>0274-U</t>
  </si>
  <si>
    <t>كوكونات باشن فيكتوريا سيكرت - نسائي</t>
  </si>
  <si>
    <t>0277-W</t>
  </si>
  <si>
    <t>كول ووتر دافيدوف -رجالي</t>
  </si>
  <si>
    <t>0278-M</t>
  </si>
  <si>
    <t>كيالي فانيل  28 - نسائي</t>
  </si>
  <si>
    <t>0280-W</t>
  </si>
  <si>
    <t>كينزو بورهوم - رجالي</t>
  </si>
  <si>
    <t>0282-M</t>
  </si>
  <si>
    <t>كينغ غولتشيي اند غابانا - K- رجالي</t>
  </si>
  <si>
    <t>0283-M</t>
  </si>
  <si>
    <t>لابومبا كارولينا هيريرا -  نسائي</t>
  </si>
  <si>
    <t>0285-W</t>
  </si>
  <si>
    <t>لابيدوس تيد - رجالي</t>
  </si>
  <si>
    <t>0286-M</t>
  </si>
  <si>
    <t>لاكوست وايت - رجالي</t>
  </si>
  <si>
    <t>0293-M</t>
  </si>
  <si>
    <t>لالونا - عود ماركوجا - للجنسين</t>
  </si>
  <si>
    <t>0294-U</t>
  </si>
  <si>
    <t>لاهوم ايفسان لوران Y.S.L -رجالي</t>
  </si>
  <si>
    <t>0296-M</t>
  </si>
  <si>
    <t>لايت بلو بورهوم دولتشي غابانا - رجالي</t>
  </si>
  <si>
    <t>0298-M</t>
  </si>
  <si>
    <t xml:space="preserve">لايت شوكلت - شوكولا - للجنسين </t>
  </si>
  <si>
    <t>0299-U</t>
  </si>
  <si>
    <t>لكي مان - رجالي</t>
  </si>
  <si>
    <t>0301-M</t>
  </si>
  <si>
    <t>لو ديسي ايسي مياكي -رجالي</t>
  </si>
  <si>
    <t>0303-M</t>
  </si>
  <si>
    <t>لورد جورج بينك هاليسون - رجالي</t>
  </si>
  <si>
    <t>0304-M</t>
  </si>
  <si>
    <t>لوف اذ هفنلي فيكتوريا سكرت - نسائي</t>
  </si>
  <si>
    <t>0306-W</t>
  </si>
  <si>
    <t xml:space="preserve">لوكس - للجنسين </t>
  </si>
  <si>
    <t>0307-U</t>
  </si>
  <si>
    <t>لومال الكسير جامبول غوتيه - رجالي</t>
  </si>
  <si>
    <t>0309-M</t>
  </si>
  <si>
    <t>لومال بورهوم - رجالي</t>
  </si>
  <si>
    <t>0310-M</t>
  </si>
  <si>
    <t>ليبر Y.S.L-نسائي</t>
  </si>
  <si>
    <t>0311-W</t>
  </si>
  <si>
    <t>ليدي مليون باكورابان - نسائي</t>
  </si>
  <si>
    <t>0313-W</t>
  </si>
  <si>
    <t xml:space="preserve">ليمون - للجنسين </t>
  </si>
  <si>
    <t>0315-U</t>
  </si>
  <si>
    <t>ماتري بريميير - للجنسين</t>
  </si>
  <si>
    <t>0316-U</t>
  </si>
  <si>
    <t>ماجيك الجزيرة -  للجنسين</t>
  </si>
  <si>
    <t>0317-U</t>
  </si>
  <si>
    <t>مارشميلو كيالي - نسائي</t>
  </si>
  <si>
    <t>0318-W</t>
  </si>
  <si>
    <t>ماليبو - مستودع</t>
  </si>
  <si>
    <t>0319-S</t>
  </si>
  <si>
    <t>ماي سيلف Y.S.L - رجالي</t>
  </si>
  <si>
    <t>0324-M</t>
  </si>
  <si>
    <t>مدام جامبول غوتيه - نسائي</t>
  </si>
  <si>
    <t>0326-W</t>
  </si>
  <si>
    <t>مس ديور  شيري كريستيان ديور - نسائي</t>
  </si>
  <si>
    <t>0328-W</t>
  </si>
  <si>
    <t>مس لافيرن - نسائي</t>
  </si>
  <si>
    <t>0329-W</t>
  </si>
  <si>
    <t>مستر بربري - رجالي</t>
  </si>
  <si>
    <t>0330-M</t>
  </si>
  <si>
    <t xml:space="preserve">مسك ابيض إبراهيم القرشي - للجنسين </t>
  </si>
  <si>
    <t>0331-U</t>
  </si>
  <si>
    <t xml:space="preserve">مسك باودر إبراهيم القرشي - للجنسين </t>
  </si>
  <si>
    <t>0333-U</t>
  </si>
  <si>
    <t xml:space="preserve">مسك توت إبراهيم القرشي - للجنسين </t>
  </si>
  <si>
    <t>0334-U</t>
  </si>
  <si>
    <t>مسك جوفان - للجنسين</t>
  </si>
  <si>
    <t>0335-U</t>
  </si>
  <si>
    <t xml:space="preserve">مسك طهارة إبراهيم القرشي - للجنسين </t>
  </si>
  <si>
    <t>0337-U</t>
  </si>
  <si>
    <t xml:space="preserve">مسك طهارة شفاف - مسك قرشي - للجنسين </t>
  </si>
  <si>
    <t>0338-U</t>
  </si>
  <si>
    <t xml:space="preserve">مسك فانيل إبراهيم القرشي - للجنسين </t>
  </si>
  <si>
    <t>0339-U</t>
  </si>
  <si>
    <t>ملبس - كارون - مسكلود -للجنسين</t>
  </si>
  <si>
    <t>0342-U</t>
  </si>
  <si>
    <t>مورزان ووردز اكس ارجوف - للجنسين</t>
  </si>
  <si>
    <t>0343-U</t>
  </si>
  <si>
    <t>مون باريس Y.S.L - نسائي</t>
  </si>
  <si>
    <t>0344-W</t>
  </si>
  <si>
    <t xml:space="preserve">مون سباركل سكادة - نسائي </t>
  </si>
  <si>
    <t>0345-W</t>
  </si>
  <si>
    <t>مونت بلانك ليجينت - رجاليي</t>
  </si>
  <si>
    <t>0346-M</t>
  </si>
  <si>
    <t>ميدنايت روز لانكوم - نسائي</t>
  </si>
  <si>
    <t>0348-W</t>
  </si>
  <si>
    <t>موست وانتد ازارو - رجالي</t>
  </si>
  <si>
    <t>0351-M</t>
  </si>
  <si>
    <t>ميغامار اورتو باريس - رجالي</t>
  </si>
  <si>
    <t>0352-M</t>
  </si>
  <si>
    <t>ناكسوس اكس ارجوف - للجنسين</t>
  </si>
  <si>
    <t>0353-U</t>
  </si>
  <si>
    <t>نوا كشريل - نسائي</t>
  </si>
  <si>
    <t>0355-W</t>
  </si>
  <si>
    <t>نوار اكستريم  توم فورد - رجالي</t>
  </si>
  <si>
    <t>0356-M</t>
  </si>
  <si>
    <t>نوتة عنبر - للجنسين</t>
  </si>
  <si>
    <t>0357-U</t>
  </si>
  <si>
    <t>نيفيا كريم - للجنسين</t>
  </si>
  <si>
    <t>0358-U</t>
  </si>
  <si>
    <t>نيود - نسائي</t>
  </si>
  <si>
    <t>0361-W</t>
  </si>
  <si>
    <t>هاشيفات نيشاني - رجالي</t>
  </si>
  <si>
    <t>0362-M</t>
  </si>
  <si>
    <t>هامول - للجنسين</t>
  </si>
  <si>
    <t>0363-U</t>
  </si>
  <si>
    <t>هوغو بوس - رجالي</t>
  </si>
  <si>
    <t>0366-M</t>
  </si>
  <si>
    <t>هوغو وومن - نسائي</t>
  </si>
  <si>
    <t>0367-W</t>
  </si>
  <si>
    <t>هوم انتنس كريستيان ديور - رجالي</t>
  </si>
  <si>
    <t>0368-M</t>
  </si>
  <si>
    <t>هيبنوتيك بوازون كريستيان ديور - نسائي</t>
  </si>
  <si>
    <t>0369-W</t>
  </si>
  <si>
    <t>هيدسون فاليه قصة - رجالي</t>
  </si>
  <si>
    <t>0371-M</t>
  </si>
  <si>
    <t>هيدن شولدرز- للجنسين</t>
  </si>
  <si>
    <t>0372-U</t>
  </si>
  <si>
    <t>وان اند اونلي قصة - للجنسين</t>
  </si>
  <si>
    <t>0374-U</t>
  </si>
  <si>
    <t>وصال - اجمل - للجنسين</t>
  </si>
  <si>
    <t>0377-U</t>
  </si>
  <si>
    <t>ون مليون لاكي باكورابان - رجالي</t>
  </si>
  <si>
    <t>0379-M</t>
  </si>
  <si>
    <t>ويك اند بربري - نسائي</t>
  </si>
  <si>
    <t>0381-W</t>
  </si>
  <si>
    <t>يس أيام كشريل - نسائي</t>
  </si>
  <si>
    <t>0382-W</t>
  </si>
  <si>
    <t>بلو تاليسمان من إكس نيهيلو - للجنسين</t>
  </si>
  <si>
    <t>0386-U</t>
  </si>
  <si>
    <t xml:space="preserve"> بلاي جيفينشي - نسائي</t>
  </si>
  <si>
    <t>0001-W</t>
  </si>
  <si>
    <t>40عقدة اكس ارجوف -رجالي</t>
  </si>
  <si>
    <t>0002-M</t>
  </si>
  <si>
    <t>اترنتي كالفين كلاين - رجالي</t>
  </si>
  <si>
    <t>0003-M</t>
  </si>
  <si>
    <t>ادفينشر دافيدوف - رجالي</t>
  </si>
  <si>
    <t>0005-M</t>
  </si>
  <si>
    <t>اديكت كريستيان ديور - نسائي</t>
  </si>
  <si>
    <t>0006-W</t>
  </si>
  <si>
    <t>اراميس 900 - رجالي</t>
  </si>
  <si>
    <t>0007-M</t>
  </si>
  <si>
    <t>ارزا ستبل جيفينشي - نسائي</t>
  </si>
  <si>
    <t>0010-W</t>
  </si>
  <si>
    <t>ازارو بورهوم - رجالي</t>
  </si>
  <si>
    <t>0012-M</t>
  </si>
  <si>
    <t>استي ديبون - رجالي</t>
  </si>
  <si>
    <t>0015-M</t>
  </si>
  <si>
    <t>استي ديبون سوبر - نسائي</t>
  </si>
  <si>
    <t>0016-W</t>
  </si>
  <si>
    <t>افترنون سويم L.V -للجنسين</t>
  </si>
  <si>
    <t>0019-U</t>
  </si>
  <si>
    <t>افينتوس كريد - رجالي</t>
  </si>
  <si>
    <t>0020-M</t>
  </si>
  <si>
    <t>اكس اس باكورابان - رجالي</t>
  </si>
  <si>
    <t>0021-M</t>
  </si>
  <si>
    <t>التراميل نومال جامبول غويته - رجالي</t>
  </si>
  <si>
    <t>0026-M</t>
  </si>
  <si>
    <t>المنت هوغو بوس - رجالي</t>
  </si>
  <si>
    <t>0029-M</t>
  </si>
  <si>
    <t>امريج جيفينشي - نسائي</t>
  </si>
  <si>
    <t>0033-W</t>
  </si>
  <si>
    <t>انسولانس غيرلان - نسائي</t>
  </si>
  <si>
    <t>0037-W</t>
  </si>
  <si>
    <t>انفكتوس باكورابان - رجالي</t>
  </si>
  <si>
    <t>0038-M</t>
  </si>
  <si>
    <t>انفكتوس فيكتوري باكورابان - رجالي</t>
  </si>
  <si>
    <t>0039-M</t>
  </si>
  <si>
    <t>انفي مي غوتشي - نسائي</t>
  </si>
  <si>
    <t>0040-W</t>
  </si>
  <si>
    <t>اوبن روجر  -  رجالي</t>
  </si>
  <si>
    <t>0043-M</t>
  </si>
  <si>
    <t>اورينت صاندل ابسولو غيرلان - للجنسين</t>
  </si>
  <si>
    <t>0045-U</t>
  </si>
  <si>
    <t>اولومبيا - باكورابان - نسائي</t>
  </si>
  <si>
    <t>0047-W</t>
  </si>
  <si>
    <t>اونلي ذا ون دولتشي اند غابانا - نسائي</t>
  </si>
  <si>
    <t>0048-W</t>
  </si>
  <si>
    <t>ايروس فرزاتشي - رجالي</t>
  </si>
  <si>
    <t>0051-M</t>
  </si>
  <si>
    <t>ايفوريا كالفين كلاين - رجالي</t>
  </si>
  <si>
    <t>0052-M</t>
  </si>
  <si>
    <t>ايفوريا كالفين كلاين - نسائي</t>
  </si>
  <si>
    <t>0053-W</t>
  </si>
  <si>
    <t>ايكو دافيدوف - رجالي</t>
  </si>
  <si>
    <t>0054-M</t>
  </si>
  <si>
    <t>ايكو دافيدوف -كراش فيكتوريا سيكرت - نسائي</t>
  </si>
  <si>
    <t>0055-W</t>
  </si>
  <si>
    <t xml:space="preserve">ايكون ابسوليت دينهل - بنتلي ابسولو - ابسولو - للجنسين </t>
  </si>
  <si>
    <t>0056-U</t>
  </si>
  <si>
    <t>ايل Y.S.L -نسائي</t>
  </si>
  <si>
    <t>0057-W</t>
  </si>
  <si>
    <t>ايليسيوم روجا دوف -رجالي</t>
  </si>
  <si>
    <t>0059-M</t>
  </si>
  <si>
    <t>ايلين تيري منغلير - نسائي</t>
  </si>
  <si>
    <t>0060-W</t>
  </si>
  <si>
    <t>باتشولي انتنس نيكولاي كارتيه - رجالي</t>
  </si>
  <si>
    <t>0062-M</t>
  </si>
  <si>
    <t>باد ديزل - رجالي</t>
  </si>
  <si>
    <t>0064-M</t>
  </si>
  <si>
    <t>باريس Y.S.L - نسائي</t>
  </si>
  <si>
    <t>0067-W</t>
  </si>
  <si>
    <t>باريس هيلتون - رجالي</t>
  </si>
  <si>
    <t>0068-M</t>
  </si>
  <si>
    <t>باريس هيلتون - نسائي</t>
  </si>
  <si>
    <t>0069-W</t>
  </si>
  <si>
    <t>باسفك تشيل L.V  - للجنسين</t>
  </si>
  <si>
    <t>0070-U</t>
  </si>
  <si>
    <t>باكورابان بور هوم - رجالي</t>
  </si>
  <si>
    <t>0072-M</t>
  </si>
  <si>
    <t>بامبو غوتشي - نسائي</t>
  </si>
  <si>
    <t>0073-W</t>
  </si>
  <si>
    <t>برادا بارادوكس - نسائي</t>
  </si>
  <si>
    <t>0075-W</t>
  </si>
  <si>
    <t>برادا لوم - رجالي</t>
  </si>
  <si>
    <t>0076-M</t>
  </si>
  <si>
    <t>برايت كريستال فرزاتشي - نسائيي</t>
  </si>
  <si>
    <t>0077-W</t>
  </si>
  <si>
    <t>بربري هيرو - رجالي</t>
  </si>
  <si>
    <t>0080-M</t>
  </si>
  <si>
    <t>بربريس - نسائي</t>
  </si>
  <si>
    <t>0081-W</t>
  </si>
  <si>
    <t>برنس - مسحوق غسيل - رجالي</t>
  </si>
  <si>
    <t>0082-M</t>
  </si>
  <si>
    <t>بلاك اكس اس باكورابان - رجالي</t>
  </si>
  <si>
    <t>0087-M</t>
  </si>
  <si>
    <t>بلاك اكس اس باكورابان - نسائي</t>
  </si>
  <si>
    <t>0088-W</t>
  </si>
  <si>
    <t>بلاك اكس اس بوشن باكورابان - للجنسين</t>
  </si>
  <si>
    <t>0089-U</t>
  </si>
  <si>
    <t>بلاك اكس اس ليكزس باكورابان - رجالي</t>
  </si>
  <si>
    <t>0090-M</t>
  </si>
  <si>
    <t xml:space="preserve">بلاك اوركيد توم فورد - للجنسين </t>
  </si>
  <si>
    <t>0092-U</t>
  </si>
  <si>
    <t>بلاك كود -جورجيو ارماني - رجالي</t>
  </si>
  <si>
    <t>0093-M</t>
  </si>
  <si>
    <t>بلاك كود بورفومو - رجالي</t>
  </si>
  <si>
    <t>0094-M</t>
  </si>
  <si>
    <t>بلو جينز فرزاتشي - رجالي</t>
  </si>
  <si>
    <t>0095-M</t>
  </si>
  <si>
    <t>بلو دي شانيل -رجالي</t>
  </si>
  <si>
    <t>0096-M</t>
  </si>
  <si>
    <t>بلو فور مان رصاصي - رجاليي</t>
  </si>
  <si>
    <t>0097-M</t>
  </si>
  <si>
    <t>بلوم غوتشي - نسائي</t>
  </si>
  <si>
    <t>0098-W</t>
  </si>
  <si>
    <t>بوازون - كوبرا - نسائي</t>
  </si>
  <si>
    <t>0101-W</t>
  </si>
  <si>
    <t>بوازون غيرل كريستيان ديور -نسائي</t>
  </si>
  <si>
    <t>0102-W</t>
  </si>
  <si>
    <t>بوس  بتلد  نايت - رجالي</t>
  </si>
  <si>
    <t>0105-M</t>
  </si>
  <si>
    <t>بوس انموشن - رجالي</t>
  </si>
  <si>
    <t>0106-M</t>
  </si>
  <si>
    <t>بولغاري بلو - رويال بلو - رجالي</t>
  </si>
  <si>
    <t>0107-M</t>
  </si>
  <si>
    <t>بولغاري مان -رجالي</t>
  </si>
  <si>
    <t>0108-M</t>
  </si>
  <si>
    <t>بولو بلاك - رجالي</t>
  </si>
  <si>
    <t>0109-M</t>
  </si>
  <si>
    <t>بونسوار - نسائي</t>
  </si>
  <si>
    <t>0112-W</t>
  </si>
  <si>
    <t>بي جيفينشي - رجالي</t>
  </si>
  <si>
    <t>0113-M</t>
  </si>
  <si>
    <t>بي ديليشيز ديكني - نسائي</t>
  </si>
  <si>
    <t>0114-W</t>
  </si>
  <si>
    <t>بيغاسوس بارفام ديمارلي - رجالي</t>
  </si>
  <si>
    <t>0115-M</t>
  </si>
  <si>
    <t>بينك شوغر - انا والشوق - نسائي</t>
  </si>
  <si>
    <t>0117-W</t>
  </si>
  <si>
    <t>بيور نايت اكس اس باكورابان - رجالي</t>
  </si>
  <si>
    <t>0120-M</t>
  </si>
  <si>
    <t>تايغر بولغاري - رجالي</t>
  </si>
  <si>
    <t>0123-M</t>
  </si>
  <si>
    <t>تروبيكال - نسائي</t>
  </si>
  <si>
    <t>0124-W</t>
  </si>
  <si>
    <t>تريزور لانكوم - نسائي</t>
  </si>
  <si>
    <t>0125-W</t>
  </si>
  <si>
    <t>تشامبيون دافيدوف - رجالي</t>
  </si>
  <si>
    <t>0127-M</t>
  </si>
  <si>
    <t>توباكو كولور كريستيان ديور - للجنسين</t>
  </si>
  <si>
    <t>0130-U</t>
  </si>
  <si>
    <t>توكسيدو Y.S.L -رجالي</t>
  </si>
  <si>
    <t>0132-M</t>
  </si>
  <si>
    <t xml:space="preserve">توماس كوسمالا 4 - للجنسين </t>
  </si>
  <si>
    <t>0133-U</t>
  </si>
  <si>
    <t>توين ازارو - نسائي</t>
  </si>
  <si>
    <t>0134-W</t>
  </si>
  <si>
    <t>تيروني اورتو باريس - للجنسين</t>
  </si>
  <si>
    <t>0135-U</t>
  </si>
  <si>
    <t>تيري دي هرمز - رجالي</t>
  </si>
  <si>
    <t>0136-M</t>
  </si>
  <si>
    <t>جابرييل شانيل - نسائي</t>
  </si>
  <si>
    <t>0137-W</t>
  </si>
  <si>
    <t>جامب جوب - رجالي</t>
  </si>
  <si>
    <t>0140-M</t>
  </si>
  <si>
    <t>جونسون - للجنسين</t>
  </si>
  <si>
    <t>0143-U</t>
  </si>
  <si>
    <t>جوي كريستيان ديور - نسائي</t>
  </si>
  <si>
    <t>0145-W</t>
  </si>
  <si>
    <t>جي القديمة - نسائيي</t>
  </si>
  <si>
    <t>0146-W</t>
  </si>
  <si>
    <t>جيفينشي بور اوم  الأحمر - رجالي</t>
  </si>
  <si>
    <t>0148-M</t>
  </si>
  <si>
    <t>جيمس بوند 007 - رجالي</t>
  </si>
  <si>
    <t>0149-M</t>
  </si>
  <si>
    <t>جينتل مان جيفينشي - رجالي</t>
  </si>
  <si>
    <t>0150-M</t>
  </si>
  <si>
    <t>جيو بروفوم جورجييو ارماني - رجالي</t>
  </si>
  <si>
    <t>0151-M</t>
  </si>
  <si>
    <t>حريم السلطان - وصال الدهبي - للجنسين</t>
  </si>
  <si>
    <t>0152-U</t>
  </si>
  <si>
    <t>دراق - رجالي</t>
  </si>
  <si>
    <t>0155-M</t>
  </si>
  <si>
    <t>دكلريشن دي كارتير - رجالي</t>
  </si>
  <si>
    <t>0156-M</t>
  </si>
  <si>
    <t>دولتشي اند غابانا بورهوم -رجالي</t>
  </si>
  <si>
    <t>0158-M</t>
  </si>
  <si>
    <t>ذا سينت هوغو بوس - رجالي</t>
  </si>
  <si>
    <t>0161-M</t>
  </si>
  <si>
    <t>ذا سينت هوغو بوس - نسائي</t>
  </si>
  <si>
    <t>0162-W</t>
  </si>
  <si>
    <t>ذا ون دولتشي اند غابانا - رجالي</t>
  </si>
  <si>
    <t>0164-M</t>
  </si>
  <si>
    <t>ذا ون دولتشي اند غابانا - نسائي</t>
  </si>
  <si>
    <t>0165-W</t>
  </si>
  <si>
    <t xml:space="preserve">زهرة الفل - للجنسين </t>
  </si>
  <si>
    <t>0168-U</t>
  </si>
  <si>
    <t>روبيرتو كافالي - نسائي</t>
  </si>
  <si>
    <t>0169-W</t>
  </si>
  <si>
    <t>روشاز مان - رجالي</t>
  </si>
  <si>
    <t>0173-M</t>
  </si>
  <si>
    <t>ريتشي ريتشي - نسائي</t>
  </si>
  <si>
    <t>0176-W</t>
  </si>
  <si>
    <t xml:space="preserve">ريد توباكو مانسيرا - للجنسين </t>
  </si>
  <si>
    <t>0177-U</t>
  </si>
  <si>
    <t>ريد جينز فيرساتشي - نسائي</t>
  </si>
  <si>
    <t>0178-W</t>
  </si>
  <si>
    <t>ريد لاكوست - روج لاكوست - رجالي</t>
  </si>
  <si>
    <t>0179-M</t>
  </si>
  <si>
    <t>زهرة الزنبق - للجنسين</t>
  </si>
  <si>
    <t>0182-U</t>
  </si>
  <si>
    <t>زهرة الزيزفون - للجنسين</t>
  </si>
  <si>
    <t>0183-U</t>
  </si>
  <si>
    <t xml:space="preserve">زهرة الياسمين - للجنسين </t>
  </si>
  <si>
    <t>0184-U</t>
  </si>
  <si>
    <t>سبيشلي سكادة - نسائي</t>
  </si>
  <si>
    <t>0188-W</t>
  </si>
  <si>
    <t>سترونغ مي باكورابان - رجالي</t>
  </si>
  <si>
    <t>0190-M</t>
  </si>
  <si>
    <t>سترونغر وذ يو انتنسلي امبريو ارماني - رجالي</t>
  </si>
  <si>
    <t>0191-M</t>
  </si>
  <si>
    <t>سكيب - رجالي</t>
  </si>
  <si>
    <t>0196-M</t>
  </si>
  <si>
    <t>سكيب - نسائي</t>
  </si>
  <si>
    <t>0197-W</t>
  </si>
  <si>
    <t>سمسارة غيرلان - نسائي</t>
  </si>
  <si>
    <t>0199-W</t>
  </si>
  <si>
    <t>سي اتش كارولينا هيريرا - رجالي</t>
  </si>
  <si>
    <t>0204-M</t>
  </si>
  <si>
    <t>سي اتش كارولينا هيريرا - نسائي</t>
  </si>
  <si>
    <t>0205-W</t>
  </si>
  <si>
    <t>سي باشن جورجيو ارماني - نسائي</t>
  </si>
  <si>
    <t>0206-W</t>
  </si>
  <si>
    <t>سيداكتيف جيس - نسائي</t>
  </si>
  <si>
    <t>0209-W</t>
  </si>
  <si>
    <t>سيكار  كوبا - رجالي</t>
  </si>
  <si>
    <t>0210-M</t>
  </si>
  <si>
    <t>سيكسي 212 كارولينا هيريرا - نسائي</t>
  </si>
  <si>
    <t>0212-W</t>
  </si>
  <si>
    <t>سيكسي كرافيتي سكادة - نسائي</t>
  </si>
  <si>
    <t>0213-W</t>
  </si>
  <si>
    <t>سيلفر سينت بوجارد - رجالي</t>
  </si>
  <si>
    <t>0215-M</t>
  </si>
  <si>
    <t>سيلفر شادو دافيدوف - رجالي</t>
  </si>
  <si>
    <t>0216-M</t>
  </si>
  <si>
    <t>شانيل 19 - نسائي</t>
  </si>
  <si>
    <t>0220-W</t>
  </si>
  <si>
    <t>شانيل 5 - نسائي</t>
  </si>
  <si>
    <t>0221-W</t>
  </si>
  <si>
    <t>شمام - للجنسين</t>
  </si>
  <si>
    <t>0222-U</t>
  </si>
  <si>
    <t>شمس الامارات لطافة - للجنسين</t>
  </si>
  <si>
    <t>0223-U</t>
  </si>
  <si>
    <t xml:space="preserve">شهرة رصاصي -للجنسين </t>
  </si>
  <si>
    <t>0224-U</t>
  </si>
  <si>
    <t>عنبر نوماد L.V - للجنسين</t>
  </si>
  <si>
    <t>0227-U</t>
  </si>
  <si>
    <t>عود السلطان ارض الزعفرران -  للجنسين</t>
  </si>
  <si>
    <t>0230-U</t>
  </si>
  <si>
    <t>عود أصفهان كريستيان ديور - للجنسين</t>
  </si>
  <si>
    <t>0231-U</t>
  </si>
  <si>
    <t>عود بوكيه لانكوم - للجنسين</t>
  </si>
  <si>
    <t>0232-U</t>
  </si>
  <si>
    <t xml:space="preserve">عود كاشمير - للجنسين </t>
  </si>
  <si>
    <t>0235-U</t>
  </si>
  <si>
    <t>عود كمبودي الرحاب - للجنسين</t>
  </si>
  <si>
    <t>0236-U</t>
  </si>
  <si>
    <t>عود ملكي - تشوبارد - للجنسين</t>
  </si>
  <si>
    <t>0238-U</t>
  </si>
  <si>
    <t>عود هندي - الرحاب - للجنسين</t>
  </si>
  <si>
    <t>0239-U</t>
  </si>
  <si>
    <t>عود وود توم فورد - للجنسين</t>
  </si>
  <si>
    <t>0240-U</t>
  </si>
  <si>
    <t>غوتشي باي غوتشي - رجالي</t>
  </si>
  <si>
    <t>0241-M</t>
  </si>
  <si>
    <t>غوتشي باي غوتشي - نسائي</t>
  </si>
  <si>
    <t>0242-W</t>
  </si>
  <si>
    <t>غيلتي بورفام غوتشي - نسائي</t>
  </si>
  <si>
    <t>0245-W</t>
  </si>
  <si>
    <t>فانتوم باكورابان - رجاليي</t>
  </si>
  <si>
    <t>0248-M</t>
  </si>
  <si>
    <t>فاير بلاس ريبليكا - رجالي</t>
  </si>
  <si>
    <t>0249-M</t>
  </si>
  <si>
    <t>فريش دينهل - رجالي</t>
  </si>
  <si>
    <t>0250-M</t>
  </si>
  <si>
    <t>فلانتينو بورن ان روما - رجالي</t>
  </si>
  <si>
    <t>0251-M</t>
  </si>
  <si>
    <t>فلفت روز جومالون - للجنسين</t>
  </si>
  <si>
    <t>0254-U</t>
  </si>
  <si>
    <t>فلور كينزو - نسائي</t>
  </si>
  <si>
    <t>0255-W</t>
  </si>
  <si>
    <t>فلورا غوتشي - نسائي</t>
  </si>
  <si>
    <t>0258-W</t>
  </si>
  <si>
    <t>فويس اوف ذا سنيك غوتشي للجنسين</t>
  </si>
  <si>
    <t>0263-U</t>
  </si>
  <si>
    <t>في أي بي بلاك 212كارولينا هيريرا - رجالي</t>
  </si>
  <si>
    <t>0266-M</t>
  </si>
  <si>
    <t>في فا في توسكا - نسائي</t>
  </si>
  <si>
    <t>0267-W</t>
  </si>
  <si>
    <t>فيرت ملاكيت - ارماني برايف - للجنسين</t>
  </si>
  <si>
    <t>0268-U</t>
  </si>
  <si>
    <t>كابوتين - ماغانوليا - نسائي</t>
  </si>
  <si>
    <t>0269-W</t>
  </si>
  <si>
    <t>كريستال نوار فرزاتشي - نسائي</t>
  </si>
  <si>
    <t>0272-W</t>
  </si>
  <si>
    <t>كوروس Y.S.L -رجالي</t>
  </si>
  <si>
    <t>0275-M</t>
  </si>
  <si>
    <t>كوكو شانيل - مادموزيل - نسائي</t>
  </si>
  <si>
    <t>0276-W</t>
  </si>
  <si>
    <t>كول ووتر دافيدوف -نسائي</t>
  </si>
  <si>
    <t>0279-W</t>
  </si>
  <si>
    <t xml:space="preserve">كيلدا - للجنسين </t>
  </si>
  <si>
    <t>0281-U</t>
  </si>
  <si>
    <t>كينغ ليذر - ايرش ليذر ميمو - للجنسين</t>
  </si>
  <si>
    <t>0284-U</t>
  </si>
  <si>
    <t>لابيل جامبول غوتيه -  نسائي</t>
  </si>
  <si>
    <t>0287-W</t>
  </si>
  <si>
    <t>لاست شانص - للجنسين</t>
  </si>
  <si>
    <t>0288-U</t>
  </si>
  <si>
    <t>لاف ستوري كلويه - نسائي</t>
  </si>
  <si>
    <t>0289-W</t>
  </si>
  <si>
    <t>لافيبل لانكوم - نسائي</t>
  </si>
  <si>
    <t>0290-W</t>
  </si>
  <si>
    <t>لاكشري اربيك الرحاب - للجنسين</t>
  </si>
  <si>
    <t>0291-U</t>
  </si>
  <si>
    <t>لاكشري دارك - مستودع</t>
  </si>
  <si>
    <t>0292-S</t>
  </si>
  <si>
    <t>لانوي تريزور لانكوم - نسائي</t>
  </si>
  <si>
    <t>0295-W</t>
  </si>
  <si>
    <t>لايت بلو بورفام دولتشي غابانا - نسائي</t>
  </si>
  <si>
    <t>0297-W</t>
  </si>
  <si>
    <t>لايتون بارفام ديمارلي - رجالي</t>
  </si>
  <si>
    <t>0300-M</t>
  </si>
  <si>
    <t>لندن دينهل - رجالي</t>
  </si>
  <si>
    <t>0302-M</t>
  </si>
  <si>
    <t xml:space="preserve">لوست شيري - توم فورد - للجنسين </t>
  </si>
  <si>
    <t>0305-U</t>
  </si>
  <si>
    <t>لوليتا لامببيكا -  نسائي</t>
  </si>
  <si>
    <t>0308-W</t>
  </si>
  <si>
    <t>ليدي روز لافيرن -  نسائي</t>
  </si>
  <si>
    <t>0312-W</t>
  </si>
  <si>
    <t>ليمو سيتي L.V - رجالي</t>
  </si>
  <si>
    <t>0314-M</t>
  </si>
  <si>
    <t>ماليزيا اخضر - دينهل القديم - رجالي</t>
  </si>
  <si>
    <t>0320-M</t>
  </si>
  <si>
    <t>مان212 كارولينا هيريرا - رجالي</t>
  </si>
  <si>
    <t>0321-M</t>
  </si>
  <si>
    <t>مانفستو Y.S.L -نسائي</t>
  </si>
  <si>
    <t>0322-W</t>
  </si>
  <si>
    <t>ماي بربري - نسائي</t>
  </si>
  <si>
    <t>0323-W</t>
  </si>
  <si>
    <t>ماي واي جورجيو ارماني - نسائي</t>
  </si>
  <si>
    <t>0325-W</t>
  </si>
  <si>
    <t>مدام روشه - نسائي</t>
  </si>
  <si>
    <t>0327-W</t>
  </si>
  <si>
    <t xml:space="preserve">مسك اسود الرحاب - للجنسين </t>
  </si>
  <si>
    <t>0332-U</t>
  </si>
  <si>
    <t>مسك رمان إبراهيم قرشي -للجنسين</t>
  </si>
  <si>
    <t>0336-U</t>
  </si>
  <si>
    <t xml:space="preserve">مسك كاشمير العربية العود - للجنسين </t>
  </si>
  <si>
    <t>0340-U</t>
  </si>
  <si>
    <t>مغنتزم سكادة - نسائي</t>
  </si>
  <si>
    <t>0341-W</t>
  </si>
  <si>
    <t>مونتانا - نسائي</t>
  </si>
  <si>
    <t>0347-W</t>
  </si>
  <si>
    <t>ميراكل بورفام لانكوم - نسائي</t>
  </si>
  <si>
    <t>0349-W</t>
  </si>
  <si>
    <t>ميري مي لانفين - نسائي</t>
  </si>
  <si>
    <t>0350-W</t>
  </si>
  <si>
    <t>نايت فلايت جوب - رجالي</t>
  </si>
  <si>
    <t>0354-M</t>
  </si>
  <si>
    <t>نينا ريتشي - نسائي</t>
  </si>
  <si>
    <t>0359-W</t>
  </si>
  <si>
    <t>نينا شيروتي 1881 - نسائي</t>
  </si>
  <si>
    <t>0360-W</t>
  </si>
  <si>
    <t xml:space="preserve">هاواي - كاشمير - للجنسين </t>
  </si>
  <si>
    <t>0364-U</t>
  </si>
  <si>
    <t>هوت كوتور جيفينشي - نسائي</t>
  </si>
  <si>
    <t>0365-W</t>
  </si>
  <si>
    <t>هيبنوس لانكوم - نسائي</t>
  </si>
  <si>
    <t>0370-W</t>
  </si>
  <si>
    <t>هيروز 212 كارولينا هيريرا - رجالي</t>
  </si>
  <si>
    <t>0373-M</t>
  </si>
  <si>
    <t>واي Y.S.L - رجالي</t>
  </si>
  <si>
    <t>0375-M</t>
  </si>
  <si>
    <t xml:space="preserve">ورد جوري - للجنسين </t>
  </si>
  <si>
    <t>0376-U</t>
  </si>
  <si>
    <t>ون مان شو - رجالي</t>
  </si>
  <si>
    <t>0378-M</t>
  </si>
  <si>
    <t>ون مليون باكورابان - رجالي</t>
  </si>
  <si>
    <t>0380-M</t>
  </si>
  <si>
    <t>تانغو قصة - غاد اوف فاير - للجنسين</t>
  </si>
  <si>
    <t>0383-U</t>
  </si>
  <si>
    <t>عنبر رومانس فيكتوريا سكرت - نسائي</t>
  </si>
  <si>
    <t>0384-W</t>
  </si>
  <si>
    <t>أمباسادور من جيسادا - رجالي</t>
  </si>
  <si>
    <t>0385-M</t>
  </si>
  <si>
    <t xml:space="preserve">بوا امبريال اسينتيال - للجنسين </t>
  </si>
  <si>
    <t>هيرش لهب العز للعود - للجنسين</t>
  </si>
  <si>
    <t>0387-U</t>
  </si>
  <si>
    <t>سيمفوني من لويس فيتون - للجنسين</t>
  </si>
  <si>
    <t>0388-U</t>
  </si>
  <si>
    <t>فريز - للجنسين</t>
  </si>
  <si>
    <t>0389-U</t>
  </si>
  <si>
    <t>مانجا - للجنسين</t>
  </si>
  <si>
    <t>ورد دمشقي - للجنسين</t>
  </si>
  <si>
    <t>نسيم البحر - للجنسين</t>
  </si>
  <si>
    <t>0390-U</t>
  </si>
  <si>
    <t>0391-U</t>
  </si>
  <si>
    <t>0392-U</t>
  </si>
  <si>
    <t>غوتشي غيلتي الكسير - رجالي</t>
  </si>
  <si>
    <t>0393-M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</si>
</sst>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8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3" fontId="2" fillId="3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3" fontId="2" fillId="4" borderId="3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606;&#1592;&#1575;&#1605;_&#1573;&#1583;&#1575;&#1585;&#1577;_&#1605;&#1582;&#1586;&#1608;&#1606;_&#1575;&#1604;&#1586;&#1610;&#1608;&#1578;_&#1575;&#1604;&#1606;&#1607;&#1575;&#1574;&#161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العمليات"/>
      <sheetName val="المخزون الرئيسي"/>
      <sheetName val="نواقص زيوت مان "/>
      <sheetName val="نواقص زيوت سمرايز "/>
      <sheetName val="نواقص زيوت لوزي  (2)"/>
    </sheetNames>
    <sheetDataSet>
      <sheetData sheetId="0">
        <row r="1">
          <cell r="B1" t="str">
            <v>اسم الزيت</v>
          </cell>
          <cell r="C1" t="str">
            <v>نوع العملية</v>
          </cell>
          <cell r="G1" t="str">
            <v>الوزن الصافي (غ)</v>
          </cell>
        </row>
        <row r="2">
          <cell r="B2" t="str">
            <v>ون مليون لاكي باكورابان - رجالي</v>
          </cell>
          <cell r="C2" t="str">
            <v>إدخال</v>
          </cell>
          <cell r="G2">
            <v>1003</v>
          </cell>
          <cell r="H2">
            <v>1</v>
          </cell>
          <cell r="I2">
            <v>1</v>
          </cell>
        </row>
        <row r="3">
          <cell r="B3" t="str">
            <v>ون مليون لاكي باكورابان - رجالي</v>
          </cell>
          <cell r="C3" t="str">
            <v>إدخال</v>
          </cell>
          <cell r="G3">
            <v>253</v>
          </cell>
          <cell r="H3">
            <v>1</v>
          </cell>
          <cell r="I3">
            <v>1</v>
          </cell>
        </row>
        <row r="4">
          <cell r="B4" t="str">
            <v>بريميير - همر - رجالي</v>
          </cell>
          <cell r="C4" t="str">
            <v>إدخال</v>
          </cell>
          <cell r="G4">
            <v>1000</v>
          </cell>
          <cell r="H4">
            <v>1</v>
          </cell>
          <cell r="I4">
            <v>1</v>
          </cell>
        </row>
        <row r="5">
          <cell r="B5" t="str">
            <v>بريميير - همر - رجالي</v>
          </cell>
          <cell r="C5" t="str">
            <v>إدخال</v>
          </cell>
          <cell r="G5">
            <v>1000</v>
          </cell>
          <cell r="H5">
            <v>1</v>
          </cell>
          <cell r="I5">
            <v>1</v>
          </cell>
        </row>
        <row r="6">
          <cell r="B6" t="str">
            <v>ون مليون لاكي باكورابان - رجالي</v>
          </cell>
          <cell r="C6" t="str">
            <v>إدخال</v>
          </cell>
          <cell r="G6">
            <v>1000</v>
          </cell>
          <cell r="H6">
            <v>1</v>
          </cell>
          <cell r="I6">
            <v>1</v>
          </cell>
        </row>
        <row r="7">
          <cell r="B7" t="str">
            <v>ذا غيم دافيدوف - رجالي</v>
          </cell>
          <cell r="C7" t="str">
            <v>إدخال</v>
          </cell>
          <cell r="G7">
            <v>1000</v>
          </cell>
          <cell r="H7">
            <v>1</v>
          </cell>
          <cell r="I7">
            <v>2</v>
          </cell>
        </row>
        <row r="8">
          <cell r="B8" t="str">
            <v>ذا غيم دافيدوف - رجالي</v>
          </cell>
          <cell r="C8" t="str">
            <v>إدخال</v>
          </cell>
          <cell r="G8">
            <v>1000</v>
          </cell>
          <cell r="H8">
            <v>1</v>
          </cell>
          <cell r="I8">
            <v>2</v>
          </cell>
        </row>
        <row r="9">
          <cell r="B9" t="str">
            <v>ذا غيم دافيدوف - رجالي</v>
          </cell>
          <cell r="C9" t="str">
            <v>إدخال</v>
          </cell>
          <cell r="G9">
            <v>757</v>
          </cell>
          <cell r="H9">
            <v>1</v>
          </cell>
          <cell r="I9">
            <v>2</v>
          </cell>
        </row>
        <row r="10">
          <cell r="B10" t="str">
            <v>هيدسون فاليه قصة - رجالي</v>
          </cell>
          <cell r="C10" t="str">
            <v>إدخال</v>
          </cell>
          <cell r="G10">
            <v>1054</v>
          </cell>
          <cell r="H10">
            <v>1</v>
          </cell>
          <cell r="I10">
            <v>2</v>
          </cell>
        </row>
        <row r="11">
          <cell r="B11" t="str">
            <v>عود مضاوي العربية للعود - للجنسين</v>
          </cell>
          <cell r="C11" t="str">
            <v>إدخال</v>
          </cell>
          <cell r="G11">
            <v>618</v>
          </cell>
          <cell r="H11">
            <v>1</v>
          </cell>
          <cell r="I11">
            <v>2</v>
          </cell>
        </row>
        <row r="12">
          <cell r="B12" t="str">
            <v>لاهوم ايفسان لوران Y.S.L -رجالي</v>
          </cell>
          <cell r="C12" t="str">
            <v>إدخال</v>
          </cell>
          <cell r="G12">
            <v>717</v>
          </cell>
          <cell r="H12">
            <v>1</v>
          </cell>
          <cell r="I12">
            <v>3</v>
          </cell>
        </row>
        <row r="13">
          <cell r="B13" t="str">
            <v>انرجايس هوغو - رجالي</v>
          </cell>
          <cell r="C13" t="str">
            <v>إدخال</v>
          </cell>
          <cell r="G13">
            <v>614</v>
          </cell>
          <cell r="H13">
            <v>1</v>
          </cell>
          <cell r="I13">
            <v>3</v>
          </cell>
        </row>
        <row r="14">
          <cell r="B14" t="str">
            <v>انرجايس هوغو - رجالي</v>
          </cell>
          <cell r="C14" t="str">
            <v>إدخال</v>
          </cell>
          <cell r="G14">
            <v>856</v>
          </cell>
          <cell r="H14">
            <v>1</v>
          </cell>
          <cell r="I14">
            <v>3</v>
          </cell>
        </row>
        <row r="15">
          <cell r="B15" t="str">
            <v>الثائر بارفان دي مارلي - رجالي</v>
          </cell>
          <cell r="C15" t="str">
            <v>إدخال</v>
          </cell>
          <cell r="G15">
            <v>634</v>
          </cell>
          <cell r="H15">
            <v>1</v>
          </cell>
          <cell r="I15">
            <v>3</v>
          </cell>
        </row>
        <row r="16">
          <cell r="B16" t="str">
            <v>جاكومو كازا نوفا - رجالي</v>
          </cell>
          <cell r="C16" t="str">
            <v>إدخال</v>
          </cell>
          <cell r="G16">
            <v>609</v>
          </cell>
          <cell r="H16">
            <v>1</v>
          </cell>
          <cell r="I16">
            <v>3</v>
          </cell>
        </row>
        <row r="17">
          <cell r="B17" t="str">
            <v>اربيان تونكا مونتال - للجنسين</v>
          </cell>
          <cell r="C17" t="str">
            <v>إدخال</v>
          </cell>
          <cell r="G17">
            <v>374</v>
          </cell>
          <cell r="H17">
            <v>1</v>
          </cell>
          <cell r="I17">
            <v>4</v>
          </cell>
        </row>
        <row r="18">
          <cell r="B18" t="str">
            <v>ماجيك الجزيرة -  للجنسين</v>
          </cell>
          <cell r="C18" t="str">
            <v>إدخال</v>
          </cell>
          <cell r="G18">
            <v>477</v>
          </cell>
          <cell r="H18">
            <v>1</v>
          </cell>
          <cell r="I18">
            <v>4</v>
          </cell>
        </row>
        <row r="19">
          <cell r="B19" t="str">
            <v>امبري لذر توم فورد - رجالي</v>
          </cell>
          <cell r="C19" t="str">
            <v>إدخال</v>
          </cell>
          <cell r="G19">
            <v>704</v>
          </cell>
          <cell r="H19">
            <v>1</v>
          </cell>
          <cell r="I19">
            <v>4</v>
          </cell>
        </row>
        <row r="20">
          <cell r="B20" t="str">
            <v>سوفاج الكسير كريستيان ديور - رجالي</v>
          </cell>
          <cell r="C20" t="str">
            <v>إدخال</v>
          </cell>
          <cell r="G20">
            <v>458</v>
          </cell>
          <cell r="H20">
            <v>1</v>
          </cell>
          <cell r="I20">
            <v>4</v>
          </cell>
        </row>
        <row r="21">
          <cell r="B21" t="str">
            <v>بوا امبريال اسينشيال - للجنسين</v>
          </cell>
          <cell r="C21" t="str">
            <v>إدخال</v>
          </cell>
          <cell r="G21">
            <v>602</v>
          </cell>
          <cell r="H21">
            <v>1</v>
          </cell>
          <cell r="I21">
            <v>4</v>
          </cell>
        </row>
        <row r="22">
          <cell r="B22" t="str">
            <v>سكاندل بايي نايت جامبول غوتيه -رجالي</v>
          </cell>
          <cell r="C22" t="str">
            <v>إدخال</v>
          </cell>
          <cell r="G22">
            <v>213</v>
          </cell>
          <cell r="H22">
            <v>1</v>
          </cell>
          <cell r="I22">
            <v>5</v>
          </cell>
        </row>
        <row r="23">
          <cell r="B23" t="str">
            <v>ديزاير دينهيل - رجالي</v>
          </cell>
          <cell r="C23" t="str">
            <v>إدخال</v>
          </cell>
          <cell r="G23">
            <v>912</v>
          </cell>
          <cell r="H23">
            <v>1</v>
          </cell>
          <cell r="I23">
            <v>5</v>
          </cell>
        </row>
        <row r="24">
          <cell r="B24" t="str">
            <v>عنبر عود اجمل - للجنسين</v>
          </cell>
          <cell r="C24" t="str">
            <v>إدخال</v>
          </cell>
          <cell r="G24">
            <v>616</v>
          </cell>
          <cell r="H24">
            <v>1</v>
          </cell>
          <cell r="I24">
            <v>5</v>
          </cell>
        </row>
        <row r="25">
          <cell r="B25" t="str">
            <v>هوغو بوس - رجالي</v>
          </cell>
          <cell r="C25" t="str">
            <v>إدخال</v>
          </cell>
          <cell r="G25">
            <v>603</v>
          </cell>
          <cell r="H25">
            <v>1</v>
          </cell>
          <cell r="I25">
            <v>5</v>
          </cell>
        </row>
        <row r="26">
          <cell r="B26" t="str">
            <v xml:space="preserve">توباكو فانيل توم فورد - للجنسين </v>
          </cell>
          <cell r="C26" t="str">
            <v>إدخال</v>
          </cell>
          <cell r="G26">
            <v>608</v>
          </cell>
          <cell r="H26">
            <v>1</v>
          </cell>
          <cell r="I26">
            <v>5</v>
          </cell>
        </row>
        <row r="27">
          <cell r="B27" t="str">
            <v>اسنترك ماليكولاس 002 -للجنسين</v>
          </cell>
          <cell r="C27" t="str">
            <v>إدخال</v>
          </cell>
          <cell r="G27">
            <v>361</v>
          </cell>
          <cell r="H27">
            <v>1</v>
          </cell>
          <cell r="I27">
            <v>6</v>
          </cell>
        </row>
        <row r="28">
          <cell r="B28" t="str">
            <v>كينغ غولتشيي اند غابانا - K- رجالي</v>
          </cell>
          <cell r="C28" t="str">
            <v>إدخال</v>
          </cell>
          <cell r="G28">
            <v>618</v>
          </cell>
          <cell r="H28">
            <v>1</v>
          </cell>
          <cell r="I28">
            <v>6</v>
          </cell>
        </row>
        <row r="29">
          <cell r="B29" t="str">
            <v>ازارو  كروم ليجينت  - رجالي</v>
          </cell>
          <cell r="C29" t="str">
            <v>إدخال</v>
          </cell>
          <cell r="G29">
            <v>1229</v>
          </cell>
          <cell r="H29">
            <v>1</v>
          </cell>
          <cell r="I29">
            <v>6</v>
          </cell>
        </row>
        <row r="30">
          <cell r="B30" t="str">
            <v>لالونا - عود ماركوجا - للجنسين</v>
          </cell>
          <cell r="C30" t="str">
            <v>إدخال</v>
          </cell>
          <cell r="G30">
            <v>811</v>
          </cell>
          <cell r="H30">
            <v>1</v>
          </cell>
          <cell r="I30">
            <v>6</v>
          </cell>
        </row>
        <row r="31">
          <cell r="B31" t="str">
            <v>ميغامار اورتو باريس - رجالي</v>
          </cell>
          <cell r="C31" t="str">
            <v>إدخال</v>
          </cell>
          <cell r="G31">
            <v>766</v>
          </cell>
          <cell r="H31">
            <v>1</v>
          </cell>
          <cell r="I31">
            <v>6</v>
          </cell>
        </row>
        <row r="32">
          <cell r="B32" t="str">
            <v>لومال الكسير جامبول غوتيه - رجالي</v>
          </cell>
          <cell r="C32" t="str">
            <v>إدخال</v>
          </cell>
          <cell r="G32">
            <v>588</v>
          </cell>
          <cell r="H32">
            <v>2</v>
          </cell>
          <cell r="I32">
            <v>1</v>
          </cell>
        </row>
        <row r="33">
          <cell r="B33" t="str">
            <v>ناكسوس اكس ارجوف - للجنسين</v>
          </cell>
          <cell r="C33" t="str">
            <v>إدخال</v>
          </cell>
          <cell r="G33">
            <v>598</v>
          </cell>
          <cell r="H33">
            <v>2</v>
          </cell>
          <cell r="I33">
            <v>1</v>
          </cell>
        </row>
        <row r="34">
          <cell r="B34" t="str">
            <v>توسكان لذر توم فورد - للجنسين</v>
          </cell>
          <cell r="C34" t="str">
            <v>إدخال</v>
          </cell>
          <cell r="G34">
            <v>979</v>
          </cell>
          <cell r="H34">
            <v>2</v>
          </cell>
          <cell r="I34">
            <v>1</v>
          </cell>
        </row>
        <row r="35">
          <cell r="B35" t="str">
            <v xml:space="preserve">اني نيشاني - للجنسين </v>
          </cell>
          <cell r="C35" t="str">
            <v>إدخال</v>
          </cell>
          <cell r="G35">
            <v>357</v>
          </cell>
          <cell r="H35">
            <v>2</v>
          </cell>
          <cell r="I35">
            <v>1</v>
          </cell>
        </row>
        <row r="36">
          <cell r="B36" t="str">
            <v>وصال - اجمل - للجنسين</v>
          </cell>
          <cell r="C36" t="str">
            <v>إدخال</v>
          </cell>
          <cell r="G36">
            <v>749</v>
          </cell>
          <cell r="H36">
            <v>2</v>
          </cell>
          <cell r="I36">
            <v>1</v>
          </cell>
        </row>
        <row r="37">
          <cell r="B37" t="str">
            <v>بولو بلو - رجالي</v>
          </cell>
          <cell r="C37" t="str">
            <v>إدخال</v>
          </cell>
          <cell r="G37">
            <v>737</v>
          </cell>
          <cell r="H37">
            <v>2</v>
          </cell>
          <cell r="I37">
            <v>2</v>
          </cell>
        </row>
        <row r="38">
          <cell r="B38" t="str">
            <v>كاريرا - زهرة الخليج - للجنسين</v>
          </cell>
          <cell r="C38" t="str">
            <v>إدخال</v>
          </cell>
          <cell r="G38">
            <v>708</v>
          </cell>
          <cell r="H38">
            <v>2</v>
          </cell>
          <cell r="I38">
            <v>2</v>
          </cell>
        </row>
        <row r="39">
          <cell r="B39" t="str">
            <v>بتلد بوس - رجالي</v>
          </cell>
          <cell r="C39" t="str">
            <v>إدخال</v>
          </cell>
          <cell r="G39">
            <v>601</v>
          </cell>
          <cell r="H39">
            <v>2</v>
          </cell>
          <cell r="I39">
            <v>2</v>
          </cell>
        </row>
        <row r="40">
          <cell r="B40" t="str">
            <v>فندي بورهوم - رجالي</v>
          </cell>
          <cell r="C40" t="str">
            <v>إدخال</v>
          </cell>
          <cell r="G40">
            <v>605</v>
          </cell>
          <cell r="H40">
            <v>2</v>
          </cell>
          <cell r="I40">
            <v>2</v>
          </cell>
        </row>
        <row r="41">
          <cell r="B41" t="str">
            <v>جان فرانكوفيري - رجالي</v>
          </cell>
          <cell r="C41" t="str">
            <v>إدخال</v>
          </cell>
          <cell r="G41">
            <v>719</v>
          </cell>
          <cell r="H41">
            <v>2</v>
          </cell>
          <cell r="I41">
            <v>2</v>
          </cell>
        </row>
        <row r="42">
          <cell r="B42" t="str">
            <v>اكوا برافا - بينو سيلفيستر - رجالي</v>
          </cell>
          <cell r="C42" t="str">
            <v>إدخال</v>
          </cell>
          <cell r="G42">
            <v>703</v>
          </cell>
          <cell r="H42">
            <v>2</v>
          </cell>
          <cell r="I42">
            <v>3</v>
          </cell>
        </row>
        <row r="43">
          <cell r="B43" t="str">
            <v>اكسينتو اكس ارجوف - للجنسين</v>
          </cell>
          <cell r="C43" t="str">
            <v>إدخال</v>
          </cell>
          <cell r="G43">
            <v>753</v>
          </cell>
          <cell r="H43">
            <v>2</v>
          </cell>
          <cell r="I43">
            <v>3</v>
          </cell>
        </row>
        <row r="44">
          <cell r="B44" t="str">
            <v>عود غوتشي - للجنسين</v>
          </cell>
          <cell r="C44" t="str">
            <v>إدخال</v>
          </cell>
          <cell r="G44">
            <v>800</v>
          </cell>
          <cell r="H44">
            <v>2</v>
          </cell>
          <cell r="I44">
            <v>3</v>
          </cell>
        </row>
        <row r="45">
          <cell r="B45" t="str">
            <v>كول ووتر دافيدوف -رجالي</v>
          </cell>
          <cell r="C45" t="str">
            <v>إدخال</v>
          </cell>
          <cell r="G45">
            <v>531</v>
          </cell>
          <cell r="H45">
            <v>2</v>
          </cell>
          <cell r="I45">
            <v>3</v>
          </cell>
        </row>
        <row r="46">
          <cell r="B46" t="str">
            <v>كول ووتر دافيدوف -رجالي</v>
          </cell>
          <cell r="C46" t="str">
            <v>إدخال</v>
          </cell>
          <cell r="G46">
            <v>768</v>
          </cell>
          <cell r="H46">
            <v>2</v>
          </cell>
          <cell r="I46">
            <v>3</v>
          </cell>
        </row>
        <row r="47">
          <cell r="B47" t="str">
            <v>بربل ليبل USA -رجالي</v>
          </cell>
          <cell r="C47" t="str">
            <v>إدخال</v>
          </cell>
          <cell r="G47">
            <v>505</v>
          </cell>
          <cell r="H47">
            <v>2</v>
          </cell>
          <cell r="I47">
            <v>4</v>
          </cell>
        </row>
        <row r="48">
          <cell r="B48" t="str">
            <v>اوشن لونج سكادة - نسائي</v>
          </cell>
          <cell r="C48" t="str">
            <v>إدخال</v>
          </cell>
          <cell r="G48">
            <v>1002</v>
          </cell>
          <cell r="H48">
            <v>2</v>
          </cell>
          <cell r="I48">
            <v>4</v>
          </cell>
        </row>
        <row r="49">
          <cell r="B49" t="str">
            <v>باشا دي كارتير - رجالي</v>
          </cell>
          <cell r="C49" t="str">
            <v>إدخال</v>
          </cell>
          <cell r="G49">
            <v>710</v>
          </cell>
          <cell r="H49">
            <v>2</v>
          </cell>
          <cell r="I49">
            <v>4</v>
          </cell>
        </row>
        <row r="50">
          <cell r="B50" t="str">
            <v>خمرة لطافة - للجنسين</v>
          </cell>
          <cell r="C50" t="str">
            <v>إدخال</v>
          </cell>
          <cell r="G50">
            <v>525</v>
          </cell>
          <cell r="H50">
            <v>2</v>
          </cell>
          <cell r="I50">
            <v>4</v>
          </cell>
        </row>
        <row r="51">
          <cell r="B51" t="str">
            <v>عود الابياد - إبراهيم القرشيي - للجنسين</v>
          </cell>
          <cell r="C51" t="str">
            <v>إدخال</v>
          </cell>
          <cell r="G51">
            <v>539</v>
          </cell>
          <cell r="H51">
            <v>2</v>
          </cell>
          <cell r="I51">
            <v>4</v>
          </cell>
        </row>
        <row r="52">
          <cell r="B52" t="str">
            <v>سنو مان - سكلبيتشر - رجالي</v>
          </cell>
          <cell r="C52" t="str">
            <v>إدخال</v>
          </cell>
          <cell r="G52">
            <v>215</v>
          </cell>
          <cell r="H52">
            <v>2</v>
          </cell>
          <cell r="I52">
            <v>5</v>
          </cell>
        </row>
        <row r="53">
          <cell r="B53" t="str">
            <v>لكي مان - رجالي</v>
          </cell>
          <cell r="C53" t="str">
            <v>إدخال</v>
          </cell>
          <cell r="G53">
            <v>649</v>
          </cell>
          <cell r="H53">
            <v>2</v>
          </cell>
          <cell r="I53">
            <v>5</v>
          </cell>
        </row>
        <row r="54">
          <cell r="B54" t="str">
            <v>مستر بربري - رجالي</v>
          </cell>
          <cell r="C54" t="str">
            <v>إدخال</v>
          </cell>
          <cell r="G54">
            <v>397</v>
          </cell>
          <cell r="H54">
            <v>2</v>
          </cell>
          <cell r="I54">
            <v>5</v>
          </cell>
        </row>
        <row r="55">
          <cell r="B55" t="str">
            <v>فلانتينو في - دارج رصاصي - رجالي</v>
          </cell>
          <cell r="C55" t="str">
            <v>إدخال</v>
          </cell>
          <cell r="G55">
            <v>601</v>
          </cell>
          <cell r="H55">
            <v>2</v>
          </cell>
          <cell r="I55">
            <v>5</v>
          </cell>
        </row>
        <row r="56">
          <cell r="B56" t="str">
            <v>لومال بورهوم - رجالي</v>
          </cell>
          <cell r="C56" t="str">
            <v>إدخال</v>
          </cell>
          <cell r="G56">
            <v>503</v>
          </cell>
          <cell r="H56">
            <v>2</v>
          </cell>
          <cell r="I56">
            <v>5</v>
          </cell>
        </row>
        <row r="57">
          <cell r="B57" t="str">
            <v>لورد جورج بينك هاليسون - رجالي</v>
          </cell>
          <cell r="C57" t="str">
            <v>إدخال</v>
          </cell>
          <cell r="G57">
            <v>480</v>
          </cell>
          <cell r="H57">
            <v>2</v>
          </cell>
          <cell r="I57">
            <v>6</v>
          </cell>
        </row>
        <row r="58">
          <cell r="B58" t="str">
            <v>لابيدوس تيد - رجالي</v>
          </cell>
          <cell r="C58" t="str">
            <v>إدخال</v>
          </cell>
          <cell r="G58">
            <v>148</v>
          </cell>
          <cell r="H58">
            <v>2</v>
          </cell>
          <cell r="I58">
            <v>6</v>
          </cell>
        </row>
        <row r="59">
          <cell r="B59" t="str">
            <v>نوار اكستريم  توم فورد - رجالي</v>
          </cell>
          <cell r="C59" t="str">
            <v>إدخال</v>
          </cell>
          <cell r="G59">
            <v>605</v>
          </cell>
          <cell r="H59">
            <v>2</v>
          </cell>
          <cell r="I59">
            <v>6</v>
          </cell>
        </row>
        <row r="60">
          <cell r="B60" t="str">
            <v>باد بوي كارولينا هيريرا - رجالي</v>
          </cell>
          <cell r="C60" t="str">
            <v>إدخال</v>
          </cell>
          <cell r="G60">
            <v>713</v>
          </cell>
          <cell r="H60">
            <v>2</v>
          </cell>
          <cell r="I60">
            <v>6</v>
          </cell>
        </row>
        <row r="61">
          <cell r="B61" t="str">
            <v>امبريال فاليه قصة - للجنسين</v>
          </cell>
          <cell r="C61" t="str">
            <v>إدخال</v>
          </cell>
          <cell r="G61">
            <v>320</v>
          </cell>
          <cell r="H61">
            <v>2</v>
          </cell>
          <cell r="I61">
            <v>6</v>
          </cell>
        </row>
        <row r="62">
          <cell r="B62" t="str">
            <v>مونت بلانك ليجينت - رجاليي</v>
          </cell>
          <cell r="C62" t="str">
            <v>إدخال</v>
          </cell>
          <cell r="G62">
            <v>1000</v>
          </cell>
          <cell r="H62">
            <v>3</v>
          </cell>
          <cell r="I62">
            <v>1</v>
          </cell>
        </row>
        <row r="63">
          <cell r="B63" t="str">
            <v>مونت بلانك ليجينت - رجاليي</v>
          </cell>
          <cell r="C63" t="str">
            <v>إدخال</v>
          </cell>
          <cell r="G63">
            <v>506</v>
          </cell>
          <cell r="H63">
            <v>3</v>
          </cell>
          <cell r="I63">
            <v>1</v>
          </cell>
        </row>
        <row r="64">
          <cell r="B64" t="str">
            <v xml:space="preserve">سلك مسك رصاصي - لاكشري مسك - للجنسين </v>
          </cell>
          <cell r="C64" t="str">
            <v>إدخال</v>
          </cell>
          <cell r="G64">
            <v>535</v>
          </cell>
          <cell r="H64">
            <v>3</v>
          </cell>
          <cell r="I64">
            <v>1</v>
          </cell>
        </row>
        <row r="65">
          <cell r="B65" t="str">
            <v>هاشيفات نيشاني - رجالي</v>
          </cell>
          <cell r="C65" t="str">
            <v>إدخال</v>
          </cell>
          <cell r="G65">
            <v>325</v>
          </cell>
          <cell r="H65">
            <v>3</v>
          </cell>
          <cell r="I65">
            <v>1</v>
          </cell>
        </row>
        <row r="66">
          <cell r="B66" t="str">
            <v>الور هوم سبورت شانيل - رجالي</v>
          </cell>
          <cell r="C66" t="str">
            <v>إدخال</v>
          </cell>
          <cell r="G66">
            <v>1000</v>
          </cell>
          <cell r="H66">
            <v>3</v>
          </cell>
          <cell r="I66">
            <v>1</v>
          </cell>
        </row>
        <row r="67">
          <cell r="B67" t="str">
            <v>جوب بورهوم - رجالي</v>
          </cell>
          <cell r="C67" t="str">
            <v>إدخال</v>
          </cell>
          <cell r="G67">
            <v>1000</v>
          </cell>
          <cell r="H67">
            <v>3</v>
          </cell>
          <cell r="I67">
            <v>2</v>
          </cell>
        </row>
        <row r="68">
          <cell r="B68" t="str">
            <v>فوياج  اراميس - رجالي</v>
          </cell>
          <cell r="C68" t="str">
            <v>إدخال</v>
          </cell>
          <cell r="G68">
            <v>608</v>
          </cell>
          <cell r="H68">
            <v>3</v>
          </cell>
          <cell r="I68">
            <v>2</v>
          </cell>
        </row>
        <row r="69">
          <cell r="B69" t="str">
            <v>بروت  -رجالي</v>
          </cell>
          <cell r="C69" t="str">
            <v>إدخال</v>
          </cell>
          <cell r="G69">
            <v>383</v>
          </cell>
          <cell r="H69">
            <v>3</v>
          </cell>
          <cell r="I69">
            <v>2</v>
          </cell>
        </row>
        <row r="70">
          <cell r="B70" t="str">
            <v>اربابورا  سوسبيرو - رجالي</v>
          </cell>
          <cell r="C70" t="str">
            <v>إدخال</v>
          </cell>
          <cell r="G70">
            <v>1217</v>
          </cell>
          <cell r="H70">
            <v>3</v>
          </cell>
          <cell r="I70">
            <v>2</v>
          </cell>
        </row>
        <row r="71">
          <cell r="B71" t="str">
            <v>كينزو بورهوم - رجالي</v>
          </cell>
          <cell r="C71" t="str">
            <v>إدخال</v>
          </cell>
          <cell r="G71">
            <v>1000</v>
          </cell>
          <cell r="H71">
            <v>3</v>
          </cell>
          <cell r="I71">
            <v>2</v>
          </cell>
        </row>
        <row r="72">
          <cell r="B72" t="str">
            <v>موست وانتد ازارو - رجالي</v>
          </cell>
          <cell r="C72" t="str">
            <v>إدخال</v>
          </cell>
          <cell r="G72">
            <v>1000</v>
          </cell>
          <cell r="H72">
            <v>3</v>
          </cell>
          <cell r="I72">
            <v>3</v>
          </cell>
        </row>
        <row r="73">
          <cell r="B73" t="str">
            <v>بلو تاليسمان من إكس نيهيلو - للجنسين</v>
          </cell>
          <cell r="C73" t="str">
            <v>إدخال</v>
          </cell>
          <cell r="G73">
            <v>505</v>
          </cell>
          <cell r="H73">
            <v>3</v>
          </cell>
          <cell r="I73">
            <v>3</v>
          </cell>
        </row>
        <row r="74">
          <cell r="B74" t="str">
            <v>اكوا دي جيو جورجيو ارماني - رجالي</v>
          </cell>
          <cell r="C74" t="str">
            <v>إدخال</v>
          </cell>
          <cell r="G74">
            <v>455</v>
          </cell>
          <cell r="H74">
            <v>3</v>
          </cell>
          <cell r="I74">
            <v>3</v>
          </cell>
        </row>
        <row r="75">
          <cell r="B75" t="str">
            <v>بكرات روج mfk -للجنسين</v>
          </cell>
          <cell r="C75" t="str">
            <v>إدخال</v>
          </cell>
          <cell r="G75">
            <v>1104</v>
          </cell>
          <cell r="H75">
            <v>3</v>
          </cell>
          <cell r="I75">
            <v>3</v>
          </cell>
        </row>
        <row r="76">
          <cell r="B76" t="str">
            <v>بكرات روج mfk -للجنسين</v>
          </cell>
          <cell r="C76" t="str">
            <v>إدخال</v>
          </cell>
          <cell r="G76">
            <v>925</v>
          </cell>
          <cell r="H76">
            <v>3</v>
          </cell>
          <cell r="I76">
            <v>3</v>
          </cell>
        </row>
        <row r="77">
          <cell r="B77" t="str">
            <v>فهرنهايت كريستيان ديور - رجالي</v>
          </cell>
          <cell r="C77" t="str">
            <v>إدخال</v>
          </cell>
          <cell r="G77">
            <v>826</v>
          </cell>
          <cell r="H77">
            <v>3</v>
          </cell>
          <cell r="I77">
            <v>4</v>
          </cell>
        </row>
        <row r="78">
          <cell r="B78" t="str">
            <v>لاكوست وايت - رجالي</v>
          </cell>
          <cell r="C78" t="str">
            <v>إدخال</v>
          </cell>
          <cell r="G78">
            <v>1019</v>
          </cell>
          <cell r="H78">
            <v>3</v>
          </cell>
          <cell r="I78">
            <v>4</v>
          </cell>
        </row>
        <row r="79">
          <cell r="B79" t="str">
            <v>سيلفر مونتن - كريد ابيض - الوسام - رجالي</v>
          </cell>
          <cell r="C79" t="str">
            <v>إدخال</v>
          </cell>
          <cell r="G79">
            <v>1043</v>
          </cell>
          <cell r="H79">
            <v>3</v>
          </cell>
          <cell r="I79">
            <v>4</v>
          </cell>
        </row>
        <row r="80">
          <cell r="B80" t="str">
            <v>هوم انتنس كريستيان ديور - رجالي</v>
          </cell>
          <cell r="C80" t="str">
            <v>إدخال</v>
          </cell>
          <cell r="G80">
            <v>113</v>
          </cell>
          <cell r="H80">
            <v>3</v>
          </cell>
          <cell r="I80">
            <v>4</v>
          </cell>
        </row>
        <row r="81">
          <cell r="B81" t="str">
            <v>ازارو كروم - رجالي</v>
          </cell>
          <cell r="C81" t="str">
            <v>إدخال</v>
          </cell>
          <cell r="G81">
            <v>599</v>
          </cell>
          <cell r="H81">
            <v>3</v>
          </cell>
          <cell r="I81">
            <v>4</v>
          </cell>
        </row>
        <row r="82">
          <cell r="B82" t="str">
            <v xml:space="preserve">مسك ابيض إبراهيم القرشي - للجنسين </v>
          </cell>
          <cell r="C82" t="str">
            <v>إدخال</v>
          </cell>
          <cell r="G82">
            <v>1000</v>
          </cell>
          <cell r="H82">
            <v>3</v>
          </cell>
          <cell r="I82">
            <v>5</v>
          </cell>
        </row>
        <row r="83">
          <cell r="B83" t="str">
            <v xml:space="preserve">مسك ابيض إبراهيم القرشي - للجنسين </v>
          </cell>
          <cell r="C83" t="str">
            <v>إدخال</v>
          </cell>
          <cell r="G83">
            <v>500</v>
          </cell>
          <cell r="H83">
            <v>3</v>
          </cell>
          <cell r="I83">
            <v>5</v>
          </cell>
        </row>
        <row r="84">
          <cell r="B84" t="str">
            <v>شيخ الشيوخ لطافة - للجنسين</v>
          </cell>
          <cell r="C84" t="str">
            <v>إدخال</v>
          </cell>
          <cell r="G84">
            <v>704</v>
          </cell>
          <cell r="H84">
            <v>3</v>
          </cell>
          <cell r="I84">
            <v>5</v>
          </cell>
        </row>
        <row r="85">
          <cell r="B85" t="str">
            <v>اسينشال لاكوست - رجالي</v>
          </cell>
          <cell r="C85" t="str">
            <v>إدخال</v>
          </cell>
          <cell r="G85">
            <v>195</v>
          </cell>
          <cell r="H85">
            <v>3</v>
          </cell>
          <cell r="I85">
            <v>5</v>
          </cell>
        </row>
        <row r="86">
          <cell r="B86" t="str">
            <v>تشالينج لاكوست - رجالي</v>
          </cell>
          <cell r="C86" t="str">
            <v>إدخال</v>
          </cell>
          <cell r="G86">
            <v>451</v>
          </cell>
          <cell r="H86">
            <v>3</v>
          </cell>
          <cell r="I86">
            <v>5</v>
          </cell>
        </row>
        <row r="87">
          <cell r="B87" t="str">
            <v>امريكان سبريت امريكان - رجالي</v>
          </cell>
          <cell r="C87" t="str">
            <v>إدخال</v>
          </cell>
          <cell r="G87">
            <v>183</v>
          </cell>
          <cell r="H87">
            <v>3</v>
          </cell>
          <cell r="I87">
            <v>6</v>
          </cell>
        </row>
        <row r="88">
          <cell r="B88" t="str">
            <v>سترونغر وذ يو امبريو ارماني - رجالي</v>
          </cell>
          <cell r="C88" t="str">
            <v>إدخال</v>
          </cell>
          <cell r="G88">
            <v>500</v>
          </cell>
          <cell r="H88">
            <v>3</v>
          </cell>
          <cell r="I88">
            <v>6</v>
          </cell>
        </row>
        <row r="89">
          <cell r="B89" t="str">
            <v>لايت بلو بورهوم دولتشي غابانا - رجالي</v>
          </cell>
          <cell r="C89" t="str">
            <v>إدخال</v>
          </cell>
          <cell r="G89">
            <v>257</v>
          </cell>
          <cell r="H89">
            <v>3</v>
          </cell>
          <cell r="I89">
            <v>6</v>
          </cell>
        </row>
        <row r="90">
          <cell r="B90" t="str">
            <v xml:space="preserve">عود فور غرتنس  اينيتيو - للجنسين </v>
          </cell>
          <cell r="C90" t="str">
            <v>إدخال</v>
          </cell>
          <cell r="G90">
            <v>198</v>
          </cell>
          <cell r="H90">
            <v>3</v>
          </cell>
          <cell r="I90">
            <v>6</v>
          </cell>
        </row>
        <row r="91">
          <cell r="B91" t="str">
            <v>كلمات العربية للعود - للجنسين</v>
          </cell>
          <cell r="C91" t="str">
            <v>إدخال</v>
          </cell>
          <cell r="G91">
            <v>500</v>
          </cell>
          <cell r="H91">
            <v>3</v>
          </cell>
          <cell r="I91">
            <v>6</v>
          </cell>
        </row>
        <row r="92">
          <cell r="B92" t="str">
            <v>ستيلر تايم - ايمرالد - للجنسين</v>
          </cell>
          <cell r="C92" t="str">
            <v>إدخال</v>
          </cell>
          <cell r="G92">
            <v>120</v>
          </cell>
          <cell r="H92">
            <v>3</v>
          </cell>
          <cell r="I92">
            <v>7</v>
          </cell>
        </row>
        <row r="93">
          <cell r="B93" t="str">
            <v>سوفاج كريستيان ديور - رجالي</v>
          </cell>
          <cell r="C93" t="str">
            <v>إدخال</v>
          </cell>
          <cell r="G93">
            <v>500</v>
          </cell>
          <cell r="H93">
            <v>3</v>
          </cell>
          <cell r="I93">
            <v>7</v>
          </cell>
        </row>
        <row r="94">
          <cell r="B94" t="str">
            <v>سوفاج كريستيان ديور - رجالي</v>
          </cell>
          <cell r="C94" t="str">
            <v>إدخال</v>
          </cell>
          <cell r="G94">
            <v>500</v>
          </cell>
          <cell r="H94">
            <v>3</v>
          </cell>
          <cell r="I94">
            <v>7</v>
          </cell>
        </row>
        <row r="95">
          <cell r="B95" t="str">
            <v>سوفاج كريستيان ديور - رجالي</v>
          </cell>
          <cell r="C95" t="str">
            <v>إدخال</v>
          </cell>
          <cell r="G95">
            <v>500</v>
          </cell>
          <cell r="H95">
            <v>3</v>
          </cell>
          <cell r="I95">
            <v>7</v>
          </cell>
        </row>
        <row r="96">
          <cell r="B96" t="str">
            <v>سوفاج كريستيان ديور - رجالي</v>
          </cell>
          <cell r="C96" t="str">
            <v>إدخال</v>
          </cell>
          <cell r="G96">
            <v>302</v>
          </cell>
          <cell r="H96">
            <v>3</v>
          </cell>
          <cell r="I96">
            <v>7</v>
          </cell>
        </row>
        <row r="97">
          <cell r="B97" t="str">
            <v>ايماجينيشن L.V - رجالي</v>
          </cell>
          <cell r="C97" t="str">
            <v>إدخال</v>
          </cell>
          <cell r="G97">
            <v>254</v>
          </cell>
          <cell r="H97">
            <v>3</v>
          </cell>
          <cell r="I97">
            <v>7</v>
          </cell>
        </row>
        <row r="98">
          <cell r="B98" t="str">
            <v>الكسندريا 2 اكس زارجوف - رجالي</v>
          </cell>
          <cell r="C98" t="str">
            <v>إدخال</v>
          </cell>
          <cell r="G98">
            <v>500</v>
          </cell>
          <cell r="H98">
            <v>3</v>
          </cell>
          <cell r="I98" t="str">
            <v>1ط2</v>
          </cell>
        </row>
        <row r="99">
          <cell r="B99" t="str">
            <v>الكسندريا 2 اكس زارجوف - رجالي</v>
          </cell>
          <cell r="C99" t="str">
            <v>إدخال</v>
          </cell>
          <cell r="G99">
            <v>599</v>
          </cell>
          <cell r="H99">
            <v>3</v>
          </cell>
          <cell r="I99" t="str">
            <v>1ط2</v>
          </cell>
        </row>
        <row r="100">
          <cell r="B100" t="str">
            <v>بلاك افغانو ناسوماتو - للجنسين</v>
          </cell>
          <cell r="C100" t="str">
            <v>إدخال</v>
          </cell>
          <cell r="G100">
            <v>302</v>
          </cell>
          <cell r="H100">
            <v>3</v>
          </cell>
          <cell r="I100" t="str">
            <v>1ط2</v>
          </cell>
        </row>
        <row r="101">
          <cell r="B101" t="str">
            <v>ايجوست بلاتينيوم شانيل - رجالي</v>
          </cell>
          <cell r="C101" t="str">
            <v>إدخال</v>
          </cell>
          <cell r="G101">
            <v>583</v>
          </cell>
          <cell r="H101">
            <v>3</v>
          </cell>
          <cell r="I101" t="str">
            <v>1ط2</v>
          </cell>
        </row>
        <row r="102">
          <cell r="B102" t="str">
            <v xml:space="preserve">بارادايس غاردن  جامبول غويته - رجالي </v>
          </cell>
          <cell r="C102" t="str">
            <v>إدخال</v>
          </cell>
          <cell r="G102">
            <v>203</v>
          </cell>
          <cell r="H102">
            <v>3</v>
          </cell>
          <cell r="I102" t="str">
            <v>1ط2</v>
          </cell>
        </row>
        <row r="103">
          <cell r="B103" t="str">
            <v>سي كي ون كالفين كلاين - رجالي</v>
          </cell>
          <cell r="C103" t="str">
            <v>إدخال</v>
          </cell>
          <cell r="G103">
            <v>402</v>
          </cell>
          <cell r="H103">
            <v>3</v>
          </cell>
          <cell r="I103" t="str">
            <v>2ط2</v>
          </cell>
        </row>
        <row r="104">
          <cell r="B104" t="str">
            <v xml:space="preserve">كركي تزيانا تيرينزي - للجنسين </v>
          </cell>
          <cell r="C104" t="str">
            <v>إدخال</v>
          </cell>
          <cell r="G104">
            <v>245</v>
          </cell>
          <cell r="H104">
            <v>3</v>
          </cell>
          <cell r="I104" t="str">
            <v>2ط2</v>
          </cell>
        </row>
        <row r="105">
          <cell r="B105" t="str">
            <v>ماي سيلف Y.S.L - رجالي</v>
          </cell>
          <cell r="C105" t="str">
            <v>إدخال</v>
          </cell>
          <cell r="G105">
            <v>195</v>
          </cell>
          <cell r="H105">
            <v>3</v>
          </cell>
          <cell r="I105" t="str">
            <v>2ط2</v>
          </cell>
        </row>
        <row r="106">
          <cell r="B106" t="str">
            <v>سيكسي 212 كارولينا هيريرا - رجالي</v>
          </cell>
          <cell r="C106" t="str">
            <v>إدخال</v>
          </cell>
          <cell r="G106">
            <v>54</v>
          </cell>
          <cell r="H106">
            <v>3</v>
          </cell>
          <cell r="I106" t="str">
            <v>2ط2</v>
          </cell>
        </row>
        <row r="107">
          <cell r="B107" t="str">
            <v>في أي بي 212 كارولينا هيريرا- رجالي</v>
          </cell>
          <cell r="C107" t="str">
            <v>إدخال</v>
          </cell>
          <cell r="G107">
            <v>470</v>
          </cell>
          <cell r="H107">
            <v>3</v>
          </cell>
          <cell r="I107" t="str">
            <v>3ط2</v>
          </cell>
        </row>
        <row r="108">
          <cell r="B108" t="str">
            <v>كينزو بورهوم - رجالي</v>
          </cell>
          <cell r="C108" t="str">
            <v>إدخال</v>
          </cell>
          <cell r="G108">
            <v>605</v>
          </cell>
          <cell r="H108">
            <v>3</v>
          </cell>
          <cell r="I108" t="str">
            <v>2ط2</v>
          </cell>
        </row>
        <row r="109">
          <cell r="B109" t="str">
            <v>بومب شيل فيكتوريا سيكرت - نسائي</v>
          </cell>
          <cell r="C109" t="str">
            <v>إدخال</v>
          </cell>
          <cell r="G109">
            <v>1000</v>
          </cell>
          <cell r="H109">
            <v>4</v>
          </cell>
          <cell r="I109">
            <v>1</v>
          </cell>
        </row>
        <row r="110">
          <cell r="B110" t="str">
            <v>بومب شيل فيكتوريا سيكرت - نسائي</v>
          </cell>
          <cell r="C110" t="str">
            <v>إدخال</v>
          </cell>
          <cell r="G110">
            <v>1000</v>
          </cell>
          <cell r="H110">
            <v>4</v>
          </cell>
          <cell r="I110">
            <v>1</v>
          </cell>
        </row>
        <row r="111">
          <cell r="B111" t="str">
            <v>بومب شيل فيكتوريا سيكرت - نسائي</v>
          </cell>
          <cell r="C111" t="str">
            <v>إدخال</v>
          </cell>
          <cell r="G111">
            <v>523</v>
          </cell>
          <cell r="H111">
            <v>4</v>
          </cell>
          <cell r="I111">
            <v>1</v>
          </cell>
        </row>
        <row r="112">
          <cell r="B112" t="str">
            <v>هامول - للجنسين</v>
          </cell>
          <cell r="C112" t="str">
            <v>إدخال</v>
          </cell>
          <cell r="G112">
            <v>1000</v>
          </cell>
          <cell r="H112">
            <v>4</v>
          </cell>
          <cell r="I112">
            <v>1</v>
          </cell>
        </row>
        <row r="113">
          <cell r="B113" t="str">
            <v>بربري فور هير - نسائي</v>
          </cell>
          <cell r="C113" t="str">
            <v>إدخال</v>
          </cell>
          <cell r="G113">
            <v>859</v>
          </cell>
          <cell r="H113">
            <v>4</v>
          </cell>
          <cell r="I113">
            <v>1</v>
          </cell>
        </row>
        <row r="114">
          <cell r="B114" t="str">
            <v>عود ابيض - رصاصي - للجنسين</v>
          </cell>
          <cell r="C114" t="str">
            <v>إدخال</v>
          </cell>
          <cell r="G114">
            <v>1000</v>
          </cell>
          <cell r="H114">
            <v>4</v>
          </cell>
          <cell r="I114">
            <v>2</v>
          </cell>
        </row>
        <row r="115">
          <cell r="B115" t="str">
            <v>عود ابيض - رصاصي - للجنسين</v>
          </cell>
          <cell r="C115" t="str">
            <v>إدخال</v>
          </cell>
          <cell r="G115">
            <v>1270</v>
          </cell>
          <cell r="H115">
            <v>4</v>
          </cell>
          <cell r="I115">
            <v>2</v>
          </cell>
        </row>
        <row r="116">
          <cell r="B116" t="str">
            <v xml:space="preserve">فلور مسك نارسيسو رودريغيز - للجنسين </v>
          </cell>
          <cell r="C116" t="str">
            <v>إدخال</v>
          </cell>
          <cell r="G116">
            <v>248</v>
          </cell>
          <cell r="H116">
            <v>4</v>
          </cell>
          <cell r="I116">
            <v>2</v>
          </cell>
        </row>
        <row r="117">
          <cell r="B117" t="str">
            <v>رومبا - نسائي</v>
          </cell>
          <cell r="C117" t="str">
            <v>إدخال</v>
          </cell>
          <cell r="G117">
            <v>700</v>
          </cell>
          <cell r="H117">
            <v>4</v>
          </cell>
          <cell r="I117">
            <v>2</v>
          </cell>
        </row>
        <row r="118">
          <cell r="B118" t="str">
            <v xml:space="preserve">روز مسك مونتال - للجنسين </v>
          </cell>
          <cell r="C118" t="str">
            <v>إدخال</v>
          </cell>
          <cell r="G118">
            <v>227</v>
          </cell>
          <cell r="H118">
            <v>4</v>
          </cell>
          <cell r="I118">
            <v>2</v>
          </cell>
        </row>
        <row r="119">
          <cell r="B119" t="str">
            <v>لابومبا كارولينا هيريرا -  نسائي</v>
          </cell>
          <cell r="C119" t="str">
            <v>إدخال</v>
          </cell>
          <cell r="G119">
            <v>434</v>
          </cell>
          <cell r="H119">
            <v>4</v>
          </cell>
          <cell r="I119">
            <v>3</v>
          </cell>
        </row>
        <row r="120">
          <cell r="B120" t="str">
            <v>مون باريس Y.S.L - نسائي</v>
          </cell>
          <cell r="C120" t="str">
            <v>إدخال</v>
          </cell>
          <cell r="G120">
            <v>291</v>
          </cell>
          <cell r="H120">
            <v>4</v>
          </cell>
          <cell r="I120">
            <v>3</v>
          </cell>
        </row>
        <row r="121">
          <cell r="B121" t="str">
            <v>مدام جامبول غوتيه - نسائي</v>
          </cell>
          <cell r="C121" t="str">
            <v>إدخال</v>
          </cell>
          <cell r="G121">
            <v>998</v>
          </cell>
          <cell r="H121">
            <v>4</v>
          </cell>
          <cell r="I121">
            <v>3</v>
          </cell>
        </row>
        <row r="122">
          <cell r="B122" t="str">
            <v>مدام جامبول غوتيه - نسائي</v>
          </cell>
          <cell r="C122" t="str">
            <v>إدخال</v>
          </cell>
          <cell r="G122">
            <v>696</v>
          </cell>
          <cell r="H122">
            <v>4</v>
          </cell>
          <cell r="I122">
            <v>3</v>
          </cell>
        </row>
        <row r="123">
          <cell r="B123" t="str">
            <v>بيكوز اتس يو امبريو ارماني - نسائي</v>
          </cell>
          <cell r="C123" t="str">
            <v>إدخال</v>
          </cell>
          <cell r="G123">
            <v>266</v>
          </cell>
          <cell r="H123">
            <v>4</v>
          </cell>
          <cell r="I123">
            <v>3</v>
          </cell>
        </row>
        <row r="124">
          <cell r="B124" t="str">
            <v>فلانتينو بورن ان روما - نسائي</v>
          </cell>
          <cell r="C124" t="str">
            <v>إدخال</v>
          </cell>
          <cell r="G124">
            <v>1156</v>
          </cell>
          <cell r="H124">
            <v>4</v>
          </cell>
          <cell r="I124">
            <v>4</v>
          </cell>
        </row>
        <row r="125">
          <cell r="B125" t="str">
            <v>سكاندل بايي نايت جامبول غوتيه -نسائي</v>
          </cell>
          <cell r="C125" t="str">
            <v>إدخال</v>
          </cell>
          <cell r="G125">
            <v>312</v>
          </cell>
          <cell r="H125">
            <v>4</v>
          </cell>
          <cell r="I125">
            <v>4</v>
          </cell>
        </row>
        <row r="126">
          <cell r="B126" t="str">
            <v>سكاندل بايي نايت جامبول غوتيه -نسائي</v>
          </cell>
          <cell r="C126" t="str">
            <v>إدخال</v>
          </cell>
          <cell r="G126">
            <v>639</v>
          </cell>
          <cell r="H126">
            <v>4</v>
          </cell>
          <cell r="I126">
            <v>4</v>
          </cell>
        </row>
        <row r="127">
          <cell r="B127" t="str">
            <v>بليجرز  استي لودر - نسائي</v>
          </cell>
          <cell r="C127" t="str">
            <v>إدخال</v>
          </cell>
          <cell r="G127">
            <v>898</v>
          </cell>
          <cell r="H127">
            <v>4</v>
          </cell>
          <cell r="I127">
            <v>4</v>
          </cell>
        </row>
        <row r="128">
          <cell r="B128" t="str">
            <v>نيود - نسائي</v>
          </cell>
          <cell r="C128" t="str">
            <v>إدخال</v>
          </cell>
          <cell r="G128">
            <v>624</v>
          </cell>
          <cell r="H128">
            <v>4</v>
          </cell>
          <cell r="I128">
            <v>4</v>
          </cell>
        </row>
        <row r="129">
          <cell r="B129" t="str">
            <v xml:space="preserve">فانتازيا بريتني سبيرس - للجنسين </v>
          </cell>
          <cell r="C129" t="str">
            <v>إدخال</v>
          </cell>
          <cell r="G129">
            <v>462</v>
          </cell>
          <cell r="H129">
            <v>4</v>
          </cell>
          <cell r="I129">
            <v>5</v>
          </cell>
        </row>
        <row r="130">
          <cell r="B130" t="str">
            <v>يس أيام كشريل - نسائي</v>
          </cell>
          <cell r="C130" t="str">
            <v>إدخال</v>
          </cell>
          <cell r="G130">
            <v>249</v>
          </cell>
          <cell r="H130">
            <v>4</v>
          </cell>
          <cell r="I130">
            <v>5</v>
          </cell>
        </row>
        <row r="131">
          <cell r="B131" t="str">
            <v>مورزان ووردز اكس ارجوف - للجنسين</v>
          </cell>
          <cell r="C131" t="str">
            <v>إدخال</v>
          </cell>
          <cell r="G131">
            <v>466</v>
          </cell>
          <cell r="H131">
            <v>4</v>
          </cell>
          <cell r="I131">
            <v>5</v>
          </cell>
        </row>
        <row r="132">
          <cell r="B132" t="str">
            <v>مس ديور  شيري كريستيان ديور - نسائي</v>
          </cell>
          <cell r="C132" t="str">
            <v>إدخال</v>
          </cell>
          <cell r="G132">
            <v>610</v>
          </cell>
          <cell r="H132">
            <v>4</v>
          </cell>
          <cell r="I132">
            <v>5</v>
          </cell>
        </row>
        <row r="133">
          <cell r="B133" t="str">
            <v>بلاك اوبيوم Y.S.L - نسائي</v>
          </cell>
          <cell r="C133" t="str">
            <v>إدخال</v>
          </cell>
          <cell r="G133">
            <v>1013</v>
          </cell>
          <cell r="H133">
            <v>4</v>
          </cell>
          <cell r="I133">
            <v>5</v>
          </cell>
        </row>
        <row r="134">
          <cell r="B134" t="str">
            <v xml:space="preserve">فلور ناركوتيك اكسنيهيلو - للجنسين </v>
          </cell>
          <cell r="C134" t="str">
            <v>إدخال</v>
          </cell>
          <cell r="G134">
            <v>675</v>
          </cell>
          <cell r="H134">
            <v>4</v>
          </cell>
          <cell r="I134">
            <v>6</v>
          </cell>
        </row>
        <row r="135">
          <cell r="B135" t="str">
            <v>ديلينا بارفام ديمارلي - نسائي</v>
          </cell>
          <cell r="C135" t="str">
            <v>إدخال</v>
          </cell>
          <cell r="G135">
            <v>396</v>
          </cell>
          <cell r="H135">
            <v>4</v>
          </cell>
          <cell r="I135">
            <v>6</v>
          </cell>
        </row>
        <row r="136">
          <cell r="B136" t="str">
            <v>بيور بوازون كريستيان ديور  نسائي</v>
          </cell>
          <cell r="C136" t="str">
            <v>إدخال</v>
          </cell>
          <cell r="G136">
            <v>559</v>
          </cell>
          <cell r="H136">
            <v>4</v>
          </cell>
          <cell r="I136">
            <v>6</v>
          </cell>
        </row>
        <row r="137">
          <cell r="B137" t="str">
            <v>انجل بورفام - نسائي</v>
          </cell>
          <cell r="C137" t="str">
            <v>إدخال</v>
          </cell>
          <cell r="G137">
            <v>218</v>
          </cell>
          <cell r="H137">
            <v>4</v>
          </cell>
          <cell r="I137">
            <v>6</v>
          </cell>
        </row>
        <row r="138">
          <cell r="B138" t="str">
            <v>راش غوتشي - نسائي</v>
          </cell>
          <cell r="C138" t="str">
            <v>إدخال</v>
          </cell>
          <cell r="G138">
            <v>603</v>
          </cell>
          <cell r="H138">
            <v>4</v>
          </cell>
          <cell r="I138">
            <v>6</v>
          </cell>
        </row>
        <row r="139">
          <cell r="B139" t="str">
            <v>رومانس رصاصي - نسائي</v>
          </cell>
          <cell r="C139" t="str">
            <v>إدخال</v>
          </cell>
          <cell r="G139">
            <v>1008</v>
          </cell>
          <cell r="H139">
            <v>5</v>
          </cell>
          <cell r="I139">
            <v>1</v>
          </cell>
        </row>
        <row r="140">
          <cell r="B140" t="str">
            <v>روز فانيل مانسيرا - للجنسين</v>
          </cell>
          <cell r="C140" t="str">
            <v>إدخال</v>
          </cell>
          <cell r="G140">
            <v>889</v>
          </cell>
          <cell r="H140">
            <v>5</v>
          </cell>
          <cell r="I140">
            <v>1</v>
          </cell>
        </row>
        <row r="141">
          <cell r="B141" t="str">
            <v>ازارو وانتد غيرل - نسائي</v>
          </cell>
          <cell r="C141" t="str">
            <v>إدخال</v>
          </cell>
          <cell r="G141">
            <v>562</v>
          </cell>
          <cell r="H141">
            <v>5</v>
          </cell>
          <cell r="I141">
            <v>1</v>
          </cell>
        </row>
        <row r="142">
          <cell r="B142" t="str">
            <v>مارشميلو كيالي - نسائي</v>
          </cell>
          <cell r="C142" t="str">
            <v>إدخال</v>
          </cell>
          <cell r="G142">
            <v>610</v>
          </cell>
          <cell r="H142">
            <v>5</v>
          </cell>
          <cell r="I142">
            <v>1</v>
          </cell>
        </row>
        <row r="143">
          <cell r="B143" t="str">
            <v>بخور العرائس ارض الزعفران -للجنسين</v>
          </cell>
          <cell r="C143" t="str">
            <v>إدخال</v>
          </cell>
          <cell r="G143">
            <v>416</v>
          </cell>
          <cell r="H143">
            <v>5</v>
          </cell>
          <cell r="I143">
            <v>1</v>
          </cell>
        </row>
        <row r="144">
          <cell r="B144" t="str">
            <v>كوكونات باشن فيكتوريا سيكرت - نسائي</v>
          </cell>
          <cell r="C144" t="str">
            <v>إدخال</v>
          </cell>
          <cell r="G144">
            <v>603</v>
          </cell>
          <cell r="H144">
            <v>5</v>
          </cell>
          <cell r="I144">
            <v>2</v>
          </cell>
        </row>
        <row r="145">
          <cell r="B145" t="str">
            <v>سيلفر داست - غبار الفضة - ميدنايت فانتازي - نسائي</v>
          </cell>
          <cell r="C145" t="str">
            <v>إدخال</v>
          </cell>
          <cell r="G145">
            <v>713</v>
          </cell>
          <cell r="H145">
            <v>5</v>
          </cell>
          <cell r="I145">
            <v>2</v>
          </cell>
        </row>
        <row r="146">
          <cell r="B146" t="str">
            <v>سبايس بومب فيكتور رولف - رجالي</v>
          </cell>
          <cell r="C146" t="str">
            <v>إدخال</v>
          </cell>
          <cell r="G146">
            <v>868</v>
          </cell>
          <cell r="H146">
            <v>3</v>
          </cell>
          <cell r="I146" t="str">
            <v>3ط2</v>
          </cell>
        </row>
        <row r="147">
          <cell r="B147" t="str">
            <v>ويك اند بربري - نسائي</v>
          </cell>
          <cell r="C147" t="str">
            <v>إدخال</v>
          </cell>
          <cell r="G147">
            <v>710</v>
          </cell>
          <cell r="H147">
            <v>5</v>
          </cell>
          <cell r="I147">
            <v>2</v>
          </cell>
        </row>
        <row r="148">
          <cell r="B148" t="str">
            <v>بودي بربري -نسائي</v>
          </cell>
          <cell r="C148" t="str">
            <v>إدخال</v>
          </cell>
          <cell r="G148">
            <v>251</v>
          </cell>
          <cell r="H148">
            <v>5</v>
          </cell>
          <cell r="I148">
            <v>2</v>
          </cell>
        </row>
        <row r="149">
          <cell r="B149" t="str">
            <v>شانص شانيل - نسائي</v>
          </cell>
          <cell r="C149" t="str">
            <v>إدخال</v>
          </cell>
          <cell r="G149">
            <v>322</v>
          </cell>
          <cell r="H149">
            <v>5</v>
          </cell>
          <cell r="I149">
            <v>2</v>
          </cell>
        </row>
        <row r="150">
          <cell r="B150" t="str">
            <v>سنشوال جوهان بي - نسائي</v>
          </cell>
          <cell r="C150" t="str">
            <v>إدخال</v>
          </cell>
          <cell r="G150">
            <v>202</v>
          </cell>
          <cell r="H150">
            <v>5</v>
          </cell>
          <cell r="I150">
            <v>3</v>
          </cell>
        </row>
        <row r="151">
          <cell r="B151" t="str">
            <v xml:space="preserve">مون سباركل سكادة - نسائي </v>
          </cell>
          <cell r="C151" t="str">
            <v>إدخال</v>
          </cell>
          <cell r="G151">
            <v>205</v>
          </cell>
          <cell r="H151">
            <v>5</v>
          </cell>
          <cell r="I151">
            <v>3</v>
          </cell>
        </row>
        <row r="152">
          <cell r="B152" t="str">
            <v>اترنتي كالفين كلاين - نسائي</v>
          </cell>
          <cell r="C152" t="str">
            <v>إدخال</v>
          </cell>
          <cell r="G152">
            <v>235</v>
          </cell>
          <cell r="H152">
            <v>5</v>
          </cell>
          <cell r="I152">
            <v>3</v>
          </cell>
        </row>
        <row r="153">
          <cell r="B153" t="str">
            <v>وان اند اونلي قصة - للجنسين</v>
          </cell>
          <cell r="C153" t="str">
            <v>إدخال</v>
          </cell>
          <cell r="G153">
            <v>251</v>
          </cell>
          <cell r="H153">
            <v>5</v>
          </cell>
          <cell r="I153">
            <v>3</v>
          </cell>
        </row>
        <row r="154">
          <cell r="B154" t="str">
            <v>لوف اذ هفنلي فيكتوريا سكرت - نسائي</v>
          </cell>
          <cell r="C154" t="str">
            <v>إدخال</v>
          </cell>
          <cell r="G154">
            <v>93</v>
          </cell>
          <cell r="H154">
            <v>5</v>
          </cell>
          <cell r="I154">
            <v>3</v>
          </cell>
        </row>
        <row r="155">
          <cell r="B155" t="str">
            <v>شانص اوتندر شانيل - نسائي</v>
          </cell>
          <cell r="C155" t="str">
            <v>إدخال</v>
          </cell>
          <cell r="G155">
            <v>1000</v>
          </cell>
          <cell r="H155">
            <v>5</v>
          </cell>
          <cell r="I155">
            <v>4</v>
          </cell>
        </row>
        <row r="156">
          <cell r="B156" t="str">
            <v>ميدنايت روز لانكوم - نسائي</v>
          </cell>
          <cell r="C156" t="str">
            <v>إدخال</v>
          </cell>
          <cell r="G156">
            <v>1000</v>
          </cell>
          <cell r="H156">
            <v>5</v>
          </cell>
          <cell r="I156">
            <v>4</v>
          </cell>
        </row>
        <row r="157">
          <cell r="B157" t="str">
            <v>ميدنايت روز لانكوم - نسائي</v>
          </cell>
          <cell r="C157" t="str">
            <v>إدخال</v>
          </cell>
          <cell r="G157">
            <v>612</v>
          </cell>
          <cell r="H157">
            <v>5</v>
          </cell>
          <cell r="I157">
            <v>4</v>
          </cell>
        </row>
        <row r="158">
          <cell r="B158" t="str">
            <v>غود غيرل كارولينا هيريرا - نسائي</v>
          </cell>
          <cell r="C158" t="str">
            <v>إدخال</v>
          </cell>
          <cell r="G158">
            <v>1000</v>
          </cell>
          <cell r="H158">
            <v>5</v>
          </cell>
          <cell r="I158">
            <v>4</v>
          </cell>
        </row>
        <row r="159">
          <cell r="B159" t="str">
            <v>غود غيرل كارولينا هيريرا - نسائي</v>
          </cell>
          <cell r="C159" t="str">
            <v>إدخال</v>
          </cell>
          <cell r="G159">
            <v>500</v>
          </cell>
          <cell r="H159">
            <v>5</v>
          </cell>
          <cell r="I159">
            <v>4</v>
          </cell>
        </row>
        <row r="160">
          <cell r="B160" t="str">
            <v>تاتش اوف بينك لاكوست - نسائي</v>
          </cell>
          <cell r="C160" t="str">
            <v>إدخال</v>
          </cell>
          <cell r="G160">
            <v>1000</v>
          </cell>
          <cell r="H160">
            <v>5</v>
          </cell>
          <cell r="I160">
            <v>5</v>
          </cell>
        </row>
        <row r="161">
          <cell r="B161" t="str">
            <v>جي جورجيو بيفرلي هيلز - نسائي</v>
          </cell>
          <cell r="C161" t="str">
            <v>إدخال</v>
          </cell>
          <cell r="G161">
            <v>1000</v>
          </cell>
          <cell r="H161">
            <v>5</v>
          </cell>
          <cell r="I161">
            <v>5</v>
          </cell>
        </row>
        <row r="162">
          <cell r="B162" t="str">
            <v>ليبر Y.S.L-نسائي</v>
          </cell>
          <cell r="C162" t="str">
            <v>إدخال</v>
          </cell>
          <cell r="G162">
            <v>1000</v>
          </cell>
          <cell r="H162">
            <v>5</v>
          </cell>
          <cell r="I162">
            <v>5</v>
          </cell>
        </row>
        <row r="163">
          <cell r="B163" t="str">
            <v>ليبر Y.S.L-نسائي</v>
          </cell>
          <cell r="C163" t="str">
            <v>إدخال</v>
          </cell>
          <cell r="G163">
            <v>505</v>
          </cell>
          <cell r="H163">
            <v>5</v>
          </cell>
          <cell r="I163">
            <v>5</v>
          </cell>
        </row>
        <row r="164">
          <cell r="B164" t="str">
            <v>جادور كريستيان ديور - نسائي</v>
          </cell>
          <cell r="C164" t="str">
            <v>إدخال</v>
          </cell>
          <cell r="G164">
            <v>743</v>
          </cell>
          <cell r="H164">
            <v>5</v>
          </cell>
          <cell r="I164">
            <v>5</v>
          </cell>
        </row>
        <row r="165">
          <cell r="B165" t="str">
            <v>رالف رولين - روج - نسائي</v>
          </cell>
          <cell r="C165" t="str">
            <v>إدخال</v>
          </cell>
          <cell r="G165">
            <v>1074</v>
          </cell>
          <cell r="H165">
            <v>5</v>
          </cell>
          <cell r="I165">
            <v>6</v>
          </cell>
        </row>
        <row r="166">
          <cell r="B166" t="str">
            <v>تاج سنسيت سكادة - نسائي</v>
          </cell>
          <cell r="C166" t="str">
            <v>إدخال</v>
          </cell>
          <cell r="G166">
            <v>692</v>
          </cell>
          <cell r="H166">
            <v>5</v>
          </cell>
          <cell r="I166">
            <v>6</v>
          </cell>
        </row>
        <row r="167">
          <cell r="B167" t="str">
            <v>ايدول لانكوم - نسائي</v>
          </cell>
          <cell r="C167" t="str">
            <v>إدخال</v>
          </cell>
          <cell r="G167">
            <v>710</v>
          </cell>
          <cell r="H167">
            <v>5</v>
          </cell>
          <cell r="I167">
            <v>6</v>
          </cell>
        </row>
        <row r="168">
          <cell r="B168" t="str">
            <v>باراديسو روبيرتو كافالي  - نسائي</v>
          </cell>
          <cell r="C168" t="str">
            <v>إدخال</v>
          </cell>
          <cell r="G168">
            <v>513</v>
          </cell>
          <cell r="H168">
            <v>5</v>
          </cell>
          <cell r="I168">
            <v>6</v>
          </cell>
        </row>
        <row r="169">
          <cell r="B169" t="str">
            <v>سي جورجيو ارماني - نسائي</v>
          </cell>
          <cell r="C169" t="str">
            <v>إدخال</v>
          </cell>
          <cell r="G169">
            <v>112</v>
          </cell>
          <cell r="H169">
            <v>5</v>
          </cell>
          <cell r="I169">
            <v>6</v>
          </cell>
        </row>
        <row r="170">
          <cell r="B170" t="str">
            <v>جوي فل سكادة - نسائي</v>
          </cell>
          <cell r="C170" t="str">
            <v>إدخال</v>
          </cell>
          <cell r="G170">
            <v>701</v>
          </cell>
          <cell r="H170">
            <v>6</v>
          </cell>
          <cell r="I170">
            <v>1</v>
          </cell>
        </row>
        <row r="171">
          <cell r="B171" t="str">
            <v>هيبنوتيك بوازون كريستيان ديور - نسائي</v>
          </cell>
          <cell r="C171" t="str">
            <v>إدخال</v>
          </cell>
          <cell r="G171">
            <v>159</v>
          </cell>
          <cell r="H171">
            <v>6</v>
          </cell>
          <cell r="I171">
            <v>1</v>
          </cell>
        </row>
        <row r="172">
          <cell r="B172" t="str">
            <v>نوا كشريل - نسائي</v>
          </cell>
          <cell r="C172" t="str">
            <v>إدخال</v>
          </cell>
          <cell r="G172">
            <v>147</v>
          </cell>
          <cell r="H172">
            <v>6</v>
          </cell>
          <cell r="I172">
            <v>1</v>
          </cell>
        </row>
        <row r="173">
          <cell r="B173" t="str">
            <v>انيس انيس - نسائي</v>
          </cell>
          <cell r="C173" t="str">
            <v>إدخال</v>
          </cell>
          <cell r="G173">
            <v>699</v>
          </cell>
          <cell r="H173">
            <v>6</v>
          </cell>
          <cell r="I173">
            <v>1</v>
          </cell>
        </row>
        <row r="174">
          <cell r="B174" t="str">
            <v xml:space="preserve">فوالا قصة - للجنسين </v>
          </cell>
          <cell r="C174" t="str">
            <v>إدخال</v>
          </cell>
          <cell r="G174">
            <v>279</v>
          </cell>
          <cell r="H174">
            <v>6</v>
          </cell>
          <cell r="I174">
            <v>1</v>
          </cell>
        </row>
        <row r="175">
          <cell r="B175" t="str">
            <v xml:space="preserve">زهرة التوليب - للجنسين </v>
          </cell>
          <cell r="C175" t="str">
            <v>إدخال</v>
          </cell>
          <cell r="G175">
            <v>307</v>
          </cell>
          <cell r="H175">
            <v>6</v>
          </cell>
          <cell r="I175">
            <v>2</v>
          </cell>
        </row>
        <row r="176">
          <cell r="B176" t="str">
            <v xml:space="preserve">ليمون - للجنسين </v>
          </cell>
          <cell r="C176" t="str">
            <v>إدخال</v>
          </cell>
          <cell r="G176">
            <v>812</v>
          </cell>
          <cell r="H176">
            <v>6</v>
          </cell>
          <cell r="I176">
            <v>2</v>
          </cell>
        </row>
        <row r="177">
          <cell r="B177" t="str">
            <v>نوتة عنبر - للجنسين</v>
          </cell>
          <cell r="C177" t="str">
            <v>إدخال</v>
          </cell>
          <cell r="G177">
            <v>322</v>
          </cell>
          <cell r="H177">
            <v>6</v>
          </cell>
          <cell r="I177">
            <v>2</v>
          </cell>
        </row>
        <row r="178">
          <cell r="B178" t="str">
            <v>ملبس - كارون - مسكلود -للجنسين</v>
          </cell>
          <cell r="C178" t="str">
            <v>إدخال</v>
          </cell>
          <cell r="G178">
            <v>148</v>
          </cell>
          <cell r="H178">
            <v>6</v>
          </cell>
          <cell r="I178">
            <v>2</v>
          </cell>
        </row>
        <row r="179">
          <cell r="B179" t="str">
            <v>هوغو وومن - نسائي</v>
          </cell>
          <cell r="C179" t="str">
            <v>إدخال</v>
          </cell>
          <cell r="G179">
            <v>66</v>
          </cell>
          <cell r="H179">
            <v>6</v>
          </cell>
          <cell r="I179">
            <v>2</v>
          </cell>
        </row>
        <row r="180">
          <cell r="B180" t="str">
            <v>اوريغانزا جيفينشي - نسائي</v>
          </cell>
          <cell r="C180" t="str">
            <v>إدخال</v>
          </cell>
          <cell r="G180">
            <v>707</v>
          </cell>
          <cell r="H180">
            <v>6</v>
          </cell>
          <cell r="I180">
            <v>3</v>
          </cell>
        </row>
        <row r="181">
          <cell r="B181" t="str">
            <v>في أي ابي 212كارولينا هيريرا - نسائي</v>
          </cell>
          <cell r="C181" t="str">
            <v>إدخال</v>
          </cell>
          <cell r="G181">
            <v>150</v>
          </cell>
          <cell r="H181">
            <v>6</v>
          </cell>
          <cell r="I181">
            <v>3</v>
          </cell>
        </row>
        <row r="182">
          <cell r="B182" t="str">
            <v>ستيلا - دي سيديلا - نسائي</v>
          </cell>
          <cell r="C182" t="str">
            <v>إدخال</v>
          </cell>
          <cell r="G182">
            <v>707</v>
          </cell>
          <cell r="H182">
            <v>6</v>
          </cell>
          <cell r="I182">
            <v>3</v>
          </cell>
        </row>
        <row r="183">
          <cell r="B183" t="str">
            <v>بينك شيفون - يارا - نسائي</v>
          </cell>
          <cell r="C183" t="str">
            <v>إدخال</v>
          </cell>
          <cell r="G183">
            <v>1000</v>
          </cell>
          <cell r="H183">
            <v>6</v>
          </cell>
          <cell r="I183">
            <v>3</v>
          </cell>
        </row>
        <row r="184">
          <cell r="B184" t="str">
            <v>بينك شيفون - يارا - نسائي</v>
          </cell>
          <cell r="C184" t="str">
            <v>إدخال</v>
          </cell>
          <cell r="G184">
            <v>507</v>
          </cell>
          <cell r="H184">
            <v>6</v>
          </cell>
          <cell r="I184">
            <v>3</v>
          </cell>
        </row>
        <row r="185">
          <cell r="B185" t="str">
            <v>ايلي صعب - نسائي</v>
          </cell>
          <cell r="C185" t="str">
            <v>إدخال</v>
          </cell>
          <cell r="G185">
            <v>700</v>
          </cell>
          <cell r="H185">
            <v>6</v>
          </cell>
          <cell r="I185">
            <v>4</v>
          </cell>
        </row>
        <row r="186">
          <cell r="B186" t="str">
            <v>ماتري بريميير - للجنسين</v>
          </cell>
          <cell r="C186" t="str">
            <v>إدخال</v>
          </cell>
          <cell r="G186">
            <v>803</v>
          </cell>
          <cell r="H186">
            <v>6</v>
          </cell>
          <cell r="I186">
            <v>4</v>
          </cell>
        </row>
        <row r="187">
          <cell r="B187" t="str">
            <v xml:space="preserve">لوكس - للجنسين </v>
          </cell>
          <cell r="C187" t="str">
            <v>إدخال</v>
          </cell>
          <cell r="G187">
            <v>600</v>
          </cell>
          <cell r="H187">
            <v>6</v>
          </cell>
          <cell r="I187">
            <v>4</v>
          </cell>
        </row>
        <row r="188">
          <cell r="B188" t="str">
            <v>ليدي مليون باكورابان - نسائي</v>
          </cell>
          <cell r="C188" t="str">
            <v>إدخال</v>
          </cell>
          <cell r="G188">
            <v>600</v>
          </cell>
          <cell r="H188">
            <v>6</v>
          </cell>
          <cell r="I188">
            <v>4</v>
          </cell>
        </row>
        <row r="189">
          <cell r="B189" t="str">
            <v xml:space="preserve">فا - للجنسين </v>
          </cell>
          <cell r="C189" t="str">
            <v>إدخال</v>
          </cell>
          <cell r="G189">
            <v>598</v>
          </cell>
          <cell r="H189">
            <v>6</v>
          </cell>
          <cell r="I189">
            <v>4</v>
          </cell>
        </row>
        <row r="190">
          <cell r="B190" t="str">
            <v>مسك جوفان - للجنسين</v>
          </cell>
          <cell r="C190" t="str">
            <v>إدخال</v>
          </cell>
          <cell r="G190">
            <v>697</v>
          </cell>
          <cell r="H190">
            <v>6</v>
          </cell>
          <cell r="I190">
            <v>5</v>
          </cell>
        </row>
        <row r="191">
          <cell r="B191" t="str">
            <v>دوف -  للجنسين</v>
          </cell>
          <cell r="C191" t="str">
            <v>إدخال</v>
          </cell>
          <cell r="G191">
            <v>211</v>
          </cell>
          <cell r="H191">
            <v>6</v>
          </cell>
          <cell r="I191">
            <v>5</v>
          </cell>
        </row>
        <row r="192">
          <cell r="B192" t="str">
            <v>خمرة قهوة لطافة -للجنسين</v>
          </cell>
          <cell r="C192" t="str">
            <v>إدخال</v>
          </cell>
          <cell r="G192">
            <v>72</v>
          </cell>
          <cell r="H192">
            <v>6</v>
          </cell>
          <cell r="I192">
            <v>5</v>
          </cell>
        </row>
        <row r="193">
          <cell r="B193" t="str">
            <v xml:space="preserve">لايت شوكلت - شوكولا - للجنسين </v>
          </cell>
          <cell r="C193" t="str">
            <v>إدخال</v>
          </cell>
          <cell r="G193">
            <v>31</v>
          </cell>
          <cell r="H193">
            <v>6</v>
          </cell>
          <cell r="I193">
            <v>5</v>
          </cell>
        </row>
        <row r="194">
          <cell r="B194" t="str">
            <v xml:space="preserve">مسك طهارة شفاف - مسك قرشي - للجنسين </v>
          </cell>
          <cell r="C194" t="str">
            <v>إدخال</v>
          </cell>
          <cell r="G194">
            <v>43</v>
          </cell>
          <cell r="H194">
            <v>6</v>
          </cell>
          <cell r="I194">
            <v>6</v>
          </cell>
        </row>
        <row r="195">
          <cell r="B195" t="str">
            <v>لو ديسي ايسي مياكي -رجالي</v>
          </cell>
          <cell r="C195" t="str">
            <v>إدخال</v>
          </cell>
          <cell r="G195">
            <v>200</v>
          </cell>
          <cell r="H195">
            <v>6</v>
          </cell>
          <cell r="I195">
            <v>6</v>
          </cell>
        </row>
        <row r="196">
          <cell r="B196" t="str">
            <v>مس لافيرن - نسائي</v>
          </cell>
          <cell r="C196" t="str">
            <v>إدخال</v>
          </cell>
          <cell r="G196">
            <v>135</v>
          </cell>
          <cell r="H196">
            <v>6</v>
          </cell>
          <cell r="I196">
            <v>6</v>
          </cell>
        </row>
        <row r="197">
          <cell r="B197" t="str">
            <v>كيالي فانيل  28 - نسائي</v>
          </cell>
          <cell r="C197" t="str">
            <v>إدخال</v>
          </cell>
          <cell r="G197">
            <v>500</v>
          </cell>
          <cell r="H197">
            <v>6</v>
          </cell>
          <cell r="I197">
            <v>6</v>
          </cell>
        </row>
        <row r="198">
          <cell r="B198" t="str">
            <v xml:space="preserve">غولدين داست -غبار الذهب - فانيل - للجنسين </v>
          </cell>
          <cell r="C198" t="str">
            <v>إدخال</v>
          </cell>
          <cell r="G198">
            <v>210</v>
          </cell>
          <cell r="H198">
            <v>6</v>
          </cell>
          <cell r="I198">
            <v>6</v>
          </cell>
        </row>
        <row r="199">
          <cell r="B199" t="str">
            <v>جان فرانكوفيري - رجالي</v>
          </cell>
          <cell r="C199" t="str">
            <v>إدخال</v>
          </cell>
          <cell r="G199">
            <v>499</v>
          </cell>
          <cell r="H199">
            <v>2</v>
          </cell>
          <cell r="I199" t="str">
            <v>2ط2</v>
          </cell>
        </row>
        <row r="200">
          <cell r="B200" t="str">
            <v>زهرة ليلك - للجنسين</v>
          </cell>
          <cell r="C200" t="str">
            <v>إدخال</v>
          </cell>
          <cell r="G200">
            <v>10</v>
          </cell>
          <cell r="H200" t="str">
            <v>مختوم ومسك</v>
          </cell>
          <cell r="I200" t="str">
            <v>-</v>
          </cell>
        </row>
        <row r="201">
          <cell r="B201" t="str">
            <v>تفاح - للجنسين</v>
          </cell>
          <cell r="C201" t="str">
            <v>إدخال</v>
          </cell>
          <cell r="G201">
            <v>50</v>
          </cell>
          <cell r="H201" t="str">
            <v>مختوم ومسك</v>
          </cell>
          <cell r="I201" t="str">
            <v>-</v>
          </cell>
        </row>
        <row r="202">
          <cell r="B202" t="str">
            <v>نيفيا كريم - للجنسين</v>
          </cell>
          <cell r="C202" t="str">
            <v>إدخال</v>
          </cell>
          <cell r="G202">
            <v>320</v>
          </cell>
          <cell r="H202" t="str">
            <v>مختوم ومسك</v>
          </cell>
          <cell r="I202" t="str">
            <v>-</v>
          </cell>
        </row>
        <row r="203">
          <cell r="B203" t="str">
            <v>هيدن شولدرز- للجنسين</v>
          </cell>
          <cell r="C203" t="str">
            <v>إدخال</v>
          </cell>
          <cell r="G203">
            <v>290</v>
          </cell>
          <cell r="H203" t="str">
            <v>مختوم ومسك</v>
          </cell>
          <cell r="I203" t="str">
            <v>-</v>
          </cell>
        </row>
        <row r="204">
          <cell r="B204" t="str">
            <v>زهرة البنفسج -للجنسين</v>
          </cell>
          <cell r="C204" t="str">
            <v>إدخال</v>
          </cell>
          <cell r="G204">
            <v>286</v>
          </cell>
          <cell r="H204" t="str">
            <v>مختوم ومسك</v>
          </cell>
          <cell r="I204" t="str">
            <v>-</v>
          </cell>
        </row>
        <row r="205">
          <cell r="B205" t="str">
            <v xml:space="preserve">زهرة لافندر - للجنسين </v>
          </cell>
          <cell r="C205" t="str">
            <v>إدخال</v>
          </cell>
          <cell r="G205">
            <v>110</v>
          </cell>
          <cell r="H205" t="str">
            <v>مختوم ومسك</v>
          </cell>
          <cell r="I205" t="str">
            <v>-</v>
          </cell>
        </row>
        <row r="206">
          <cell r="B206" t="str">
            <v>اكسترا فاغانس - مستودع</v>
          </cell>
          <cell r="C206" t="str">
            <v>إدخال</v>
          </cell>
          <cell r="G206">
            <v>5069</v>
          </cell>
          <cell r="H206" t="str">
            <v>مختوم ومسك</v>
          </cell>
          <cell r="I206" t="str">
            <v>-</v>
          </cell>
        </row>
        <row r="207">
          <cell r="B207" t="str">
            <v>كريستوبال -مستودع</v>
          </cell>
          <cell r="C207" t="str">
            <v>إدخال</v>
          </cell>
          <cell r="G207">
            <v>3367</v>
          </cell>
          <cell r="H207" t="str">
            <v>مختوم ومسك</v>
          </cell>
          <cell r="I207" t="str">
            <v>-</v>
          </cell>
        </row>
        <row r="208">
          <cell r="B208" t="str">
            <v>روز اوف نومان باي ريدو - مستودع</v>
          </cell>
          <cell r="C208" t="str">
            <v>إدخال</v>
          </cell>
          <cell r="G208">
            <v>2306</v>
          </cell>
          <cell r="H208" t="str">
            <v>مختوم ومسك</v>
          </cell>
          <cell r="I208" t="str">
            <v>-</v>
          </cell>
        </row>
        <row r="209">
          <cell r="B209" t="str">
            <v>ماليبو - مستودع</v>
          </cell>
          <cell r="C209" t="str">
            <v>إدخال</v>
          </cell>
          <cell r="G209">
            <v>3351</v>
          </cell>
          <cell r="H209" t="str">
            <v>مختوم ومسك</v>
          </cell>
          <cell r="I209" t="str">
            <v>-</v>
          </cell>
        </row>
        <row r="210">
          <cell r="B210" t="str">
            <v>مسك رمان إبراهيم قرشي -للجنسين</v>
          </cell>
          <cell r="C210" t="str">
            <v>إدخال</v>
          </cell>
          <cell r="G210">
            <v>60</v>
          </cell>
          <cell r="H210" t="str">
            <v>مختوم ومسك</v>
          </cell>
          <cell r="I210" t="str">
            <v>-</v>
          </cell>
        </row>
        <row r="211">
          <cell r="B211" t="str">
            <v xml:space="preserve">مسك طهارة إبراهيم القرشي - للجنسين </v>
          </cell>
          <cell r="C211" t="str">
            <v>إدخال</v>
          </cell>
          <cell r="G211">
            <v>2330</v>
          </cell>
          <cell r="H211" t="str">
            <v>مختوم ومسك</v>
          </cell>
          <cell r="I211" t="str">
            <v>-</v>
          </cell>
        </row>
        <row r="212">
          <cell r="B212" t="str">
            <v xml:space="preserve">مسك توت إبراهيم القرشي - للجنسين </v>
          </cell>
          <cell r="C212" t="str">
            <v>إدخال</v>
          </cell>
          <cell r="G212">
            <v>250</v>
          </cell>
          <cell r="H212" t="str">
            <v>مختوم ومسك</v>
          </cell>
          <cell r="I212" t="str">
            <v>-</v>
          </cell>
        </row>
        <row r="213">
          <cell r="B213" t="str">
            <v xml:space="preserve">مسك فانيل إبراهيم القرشي - للجنسين </v>
          </cell>
          <cell r="C213" t="str">
            <v>إدخال</v>
          </cell>
          <cell r="G213">
            <v>350</v>
          </cell>
          <cell r="H213" t="str">
            <v>مختوم ومسك</v>
          </cell>
          <cell r="I213" t="str">
            <v>-</v>
          </cell>
        </row>
        <row r="214">
          <cell r="B214" t="str">
            <v xml:space="preserve">مسك باودر إبراهيم القرشي - للجنسين </v>
          </cell>
          <cell r="C214" t="str">
            <v>إدخال</v>
          </cell>
          <cell r="G214">
            <v>1119</v>
          </cell>
          <cell r="H214" t="str">
            <v>مختوم ومسك</v>
          </cell>
          <cell r="I214" t="str">
            <v>-</v>
          </cell>
        </row>
        <row r="215">
          <cell r="B215" t="str">
            <v>رالف رولين - روج - نسائي</v>
          </cell>
          <cell r="C215" t="str">
            <v>إخراج</v>
          </cell>
          <cell r="G215">
            <v>500</v>
          </cell>
          <cell r="H215">
            <v>5</v>
          </cell>
          <cell r="I215">
            <v>6</v>
          </cell>
        </row>
        <row r="216">
          <cell r="B216" t="str">
            <v>خمرة لطافة - للجنسين</v>
          </cell>
          <cell r="C216" t="str">
            <v>إخراج</v>
          </cell>
          <cell r="G216">
            <v>396</v>
          </cell>
          <cell r="H216">
            <v>2</v>
          </cell>
          <cell r="I216">
            <v>4</v>
          </cell>
        </row>
        <row r="217">
          <cell r="B217" t="str">
            <v>سيلفر مونتن - كريد ابيض - الوسام - رجالي</v>
          </cell>
          <cell r="C217" t="str">
            <v>إخراج</v>
          </cell>
          <cell r="G217">
            <v>487</v>
          </cell>
          <cell r="H217">
            <v>3</v>
          </cell>
          <cell r="I217">
            <v>4</v>
          </cell>
        </row>
        <row r="218">
          <cell r="B218" t="str">
            <v>ماتري بريميير - للجنسين</v>
          </cell>
          <cell r="C218" t="str">
            <v>إدخال</v>
          </cell>
          <cell r="G218">
            <v>470</v>
          </cell>
          <cell r="H218">
            <v>6</v>
          </cell>
          <cell r="I218">
            <v>4</v>
          </cell>
        </row>
        <row r="219">
          <cell r="B219" t="str">
            <v>مسك رمان إبراهيم قرشي -للجنسين</v>
          </cell>
          <cell r="C219" t="str">
            <v>إخراج</v>
          </cell>
          <cell r="G219">
            <v>60</v>
          </cell>
          <cell r="H219" t="str">
            <v>مختوم ومسك</v>
          </cell>
          <cell r="I219" t="str">
            <v>-</v>
          </cell>
        </row>
        <row r="220">
          <cell r="B220" t="str">
            <v xml:space="preserve">مسك توت إبراهيم القرشي - للجنسين </v>
          </cell>
          <cell r="C220" t="str">
            <v>إخراج</v>
          </cell>
          <cell r="G220">
            <v>233</v>
          </cell>
          <cell r="H220" t="str">
            <v>مختوم ومسك</v>
          </cell>
          <cell r="I220" t="str">
            <v>-</v>
          </cell>
        </row>
        <row r="221">
          <cell r="B221" t="str">
            <v xml:space="preserve">مسك فانيل إبراهيم القرشي - للجنسين </v>
          </cell>
          <cell r="C221" t="str">
            <v>إخراج</v>
          </cell>
          <cell r="G221">
            <v>200</v>
          </cell>
          <cell r="H221" t="str">
            <v>مختوم ومسك</v>
          </cell>
          <cell r="I221" t="str">
            <v>-</v>
          </cell>
        </row>
        <row r="222">
          <cell r="B222" t="str">
            <v>مس لافيرن - نسائي</v>
          </cell>
          <cell r="C222" t="str">
            <v>إدخال</v>
          </cell>
          <cell r="G222">
            <v>250</v>
          </cell>
          <cell r="H222">
            <v>6</v>
          </cell>
          <cell r="I222">
            <v>6</v>
          </cell>
        </row>
        <row r="223">
          <cell r="B223" t="str">
            <v>فلانتينو بورن ان روما - نسائي</v>
          </cell>
          <cell r="C223" t="str">
            <v>إخراج</v>
          </cell>
          <cell r="G223">
            <v>200</v>
          </cell>
          <cell r="H223">
            <v>4</v>
          </cell>
          <cell r="I223">
            <v>4</v>
          </cell>
        </row>
        <row r="224">
          <cell r="B224" t="str">
            <v>شانص اوتندر شانيل - نسائي</v>
          </cell>
          <cell r="C224" t="str">
            <v>إخراج</v>
          </cell>
          <cell r="G224">
            <v>245</v>
          </cell>
          <cell r="H224">
            <v>5</v>
          </cell>
          <cell r="I224">
            <v>4</v>
          </cell>
        </row>
        <row r="225">
          <cell r="B225" t="str">
            <v>سوفاج الكسير كريستيان ديور - رجالي</v>
          </cell>
          <cell r="C225" t="str">
            <v>إخراج</v>
          </cell>
          <cell r="G225">
            <v>253</v>
          </cell>
          <cell r="H225">
            <v>1</v>
          </cell>
          <cell r="I225">
            <v>4</v>
          </cell>
        </row>
        <row r="226">
          <cell r="B226" t="str">
            <v>عود الابياد - إبراهيم القرشيي - للجنسين</v>
          </cell>
          <cell r="C226" t="str">
            <v>إخراج</v>
          </cell>
          <cell r="G226">
            <v>127</v>
          </cell>
          <cell r="H226">
            <v>2</v>
          </cell>
          <cell r="I226">
            <v>4</v>
          </cell>
        </row>
        <row r="227">
          <cell r="B227" t="str">
            <v>ديزاير دينهيل - رجالي</v>
          </cell>
          <cell r="C227" t="str">
            <v>إخراج</v>
          </cell>
          <cell r="G227">
            <v>236</v>
          </cell>
          <cell r="H227">
            <v>1</v>
          </cell>
          <cell r="I227">
            <v>5</v>
          </cell>
        </row>
        <row r="228">
          <cell r="B228" t="str">
            <v>بربري فور هير - نسائي</v>
          </cell>
          <cell r="C228" t="str">
            <v>إخراج</v>
          </cell>
          <cell r="G228">
            <v>200</v>
          </cell>
          <cell r="H228">
            <v>4</v>
          </cell>
          <cell r="I228">
            <v>1</v>
          </cell>
        </row>
        <row r="229">
          <cell r="B229" t="str">
            <v>لومال الكسير جامبول غوتيه - رجالي</v>
          </cell>
          <cell r="C229" t="str">
            <v>إخراج</v>
          </cell>
          <cell r="G229">
            <v>253</v>
          </cell>
          <cell r="H229">
            <v>2</v>
          </cell>
          <cell r="I229">
            <v>1</v>
          </cell>
        </row>
        <row r="230">
          <cell r="B230" t="str">
            <v>ماتري بريميير - للجنسين</v>
          </cell>
          <cell r="C230" t="str">
            <v>إخراج</v>
          </cell>
          <cell r="G230">
            <v>200</v>
          </cell>
          <cell r="H230">
            <v>6</v>
          </cell>
          <cell r="I230">
            <v>4</v>
          </cell>
        </row>
        <row r="231">
          <cell r="B231" t="str">
            <v>دوف -  للجنسين</v>
          </cell>
          <cell r="C231" t="str">
            <v>إخراج</v>
          </cell>
          <cell r="G231">
            <v>211</v>
          </cell>
          <cell r="H231">
            <v>6</v>
          </cell>
          <cell r="I231">
            <v>5</v>
          </cell>
        </row>
        <row r="232">
          <cell r="B232" t="str">
            <v xml:space="preserve">روز مسك مونتال - للجنسين </v>
          </cell>
          <cell r="C232" t="str">
            <v>إخراج</v>
          </cell>
          <cell r="G232">
            <v>227</v>
          </cell>
          <cell r="H232">
            <v>4</v>
          </cell>
          <cell r="I232">
            <v>2</v>
          </cell>
        </row>
        <row r="233">
          <cell r="B233" t="str">
            <v>ديلينا بارفام ديمارلي - نسائي</v>
          </cell>
          <cell r="C233" t="str">
            <v>إخراج</v>
          </cell>
          <cell r="G233">
            <v>200</v>
          </cell>
          <cell r="H233">
            <v>4</v>
          </cell>
          <cell r="I233">
            <v>6</v>
          </cell>
        </row>
        <row r="234">
          <cell r="B234" t="str">
            <v>شيخ الشيوخ لطافة - للجنسين</v>
          </cell>
          <cell r="C234" t="str">
            <v>إخراج</v>
          </cell>
          <cell r="G234">
            <v>100</v>
          </cell>
          <cell r="H234">
            <v>3</v>
          </cell>
          <cell r="I234">
            <v>5</v>
          </cell>
        </row>
        <row r="235">
          <cell r="B235" t="str">
            <v>افينتوس كريد - رجالي</v>
          </cell>
          <cell r="C235" t="str">
            <v>إدخال</v>
          </cell>
          <cell r="G235">
            <v>1000</v>
          </cell>
          <cell r="H235">
            <v>2</v>
          </cell>
          <cell r="I235" t="str">
            <v>1ط2</v>
          </cell>
        </row>
        <row r="236">
          <cell r="B236" t="str">
            <v>افينتوس كريد - رجالي</v>
          </cell>
          <cell r="C236" t="str">
            <v>إخراج</v>
          </cell>
          <cell r="G236">
            <v>500</v>
          </cell>
          <cell r="H236">
            <v>2</v>
          </cell>
          <cell r="I236" t="str">
            <v>1ط2</v>
          </cell>
        </row>
        <row r="237">
          <cell r="B237" t="str">
            <v>افينتوس كريد - رجالي</v>
          </cell>
          <cell r="C237" t="str">
            <v>إخراج</v>
          </cell>
          <cell r="G237">
            <v>300</v>
          </cell>
          <cell r="H237">
            <v>2</v>
          </cell>
          <cell r="I237" t="str">
            <v>1ط2</v>
          </cell>
        </row>
        <row r="238">
          <cell r="B238" t="str">
            <v xml:space="preserve">توماس كوسمالا 4 - للجنسين </v>
          </cell>
          <cell r="C238" t="str">
            <v>إدخال</v>
          </cell>
          <cell r="G238">
            <v>1000</v>
          </cell>
          <cell r="H238">
            <v>3</v>
          </cell>
          <cell r="I238">
            <v>4</v>
          </cell>
        </row>
        <row r="239">
          <cell r="B239" t="str">
            <v xml:space="preserve">توماس كوسمالا 4 - للجنسين </v>
          </cell>
          <cell r="C239" t="str">
            <v>إخراج</v>
          </cell>
          <cell r="G239">
            <v>219</v>
          </cell>
          <cell r="H239">
            <v>3</v>
          </cell>
          <cell r="I239">
            <v>4</v>
          </cell>
        </row>
        <row r="240">
          <cell r="B240" t="str">
            <v xml:space="preserve">توماس كوسمالا 4 - للجنسين </v>
          </cell>
          <cell r="C240" t="str">
            <v>إخراج</v>
          </cell>
          <cell r="G240">
            <v>291</v>
          </cell>
          <cell r="H240">
            <v>3</v>
          </cell>
          <cell r="I240">
            <v>4</v>
          </cell>
        </row>
        <row r="241">
          <cell r="B241" t="str">
            <v>بربل ليبل USA -رجالي</v>
          </cell>
          <cell r="C241" t="str">
            <v>إخراج</v>
          </cell>
          <cell r="G241">
            <v>150</v>
          </cell>
          <cell r="H241">
            <v>2</v>
          </cell>
          <cell r="I241">
            <v>4</v>
          </cell>
        </row>
        <row r="242">
          <cell r="B242" t="str">
            <v>عود الابياد - إبراهيم القرشيي - للجنسين</v>
          </cell>
          <cell r="C242" t="str">
            <v>إخراج</v>
          </cell>
          <cell r="G242">
            <v>150</v>
          </cell>
          <cell r="H242">
            <v>2</v>
          </cell>
          <cell r="I242">
            <v>4</v>
          </cell>
        </row>
        <row r="243">
          <cell r="B243" t="str">
            <v>ايماجينيشن L.V - رجالي</v>
          </cell>
          <cell r="C243" t="str">
            <v>إخراج</v>
          </cell>
          <cell r="G243">
            <v>190</v>
          </cell>
          <cell r="H243">
            <v>3</v>
          </cell>
          <cell r="I243">
            <v>7</v>
          </cell>
        </row>
        <row r="244">
          <cell r="B244" t="str">
            <v>روز فانيل مانسيرا - للجنسين</v>
          </cell>
          <cell r="C244" t="str">
            <v>إخراج</v>
          </cell>
          <cell r="G244">
            <v>150</v>
          </cell>
          <cell r="H244">
            <v>5</v>
          </cell>
          <cell r="I244">
            <v>1</v>
          </cell>
        </row>
        <row r="245">
          <cell r="B245" t="str">
            <v>هاشيفات نيشاني - رجالي</v>
          </cell>
          <cell r="C245" t="str">
            <v>إخراج</v>
          </cell>
          <cell r="G245">
            <v>140</v>
          </cell>
          <cell r="H245">
            <v>3</v>
          </cell>
          <cell r="I245">
            <v>1</v>
          </cell>
        </row>
        <row r="246">
          <cell r="B246" t="str">
            <v>امبري لذر توم فورد - رجالي</v>
          </cell>
          <cell r="C246" t="str">
            <v>إخراج</v>
          </cell>
          <cell r="G246">
            <v>170</v>
          </cell>
          <cell r="H246">
            <v>1</v>
          </cell>
          <cell r="I246">
            <v>4</v>
          </cell>
        </row>
        <row r="247">
          <cell r="B247" t="str">
            <v>سوفاج كريستيان ديور - رجالي</v>
          </cell>
          <cell r="C247" t="str">
            <v>إخراج</v>
          </cell>
          <cell r="G247">
            <v>301</v>
          </cell>
          <cell r="H247">
            <v>3</v>
          </cell>
          <cell r="I247">
            <v>7</v>
          </cell>
        </row>
        <row r="248">
          <cell r="B248" t="str">
            <v>ازارو كروم - رجالي</v>
          </cell>
          <cell r="C248" t="str">
            <v>إخراج</v>
          </cell>
          <cell r="G248">
            <v>228</v>
          </cell>
          <cell r="H248">
            <v>3</v>
          </cell>
          <cell r="I248">
            <v>4</v>
          </cell>
        </row>
        <row r="249">
          <cell r="B249" t="str">
            <v>موست وانتد ازارو - رجالي</v>
          </cell>
          <cell r="C249" t="str">
            <v>إخراج</v>
          </cell>
          <cell r="G249">
            <v>425</v>
          </cell>
          <cell r="H249">
            <v>3</v>
          </cell>
          <cell r="I249">
            <v>3</v>
          </cell>
        </row>
        <row r="250">
          <cell r="B250" t="str">
            <v>بينك شيفون - يارا - نسائي</v>
          </cell>
          <cell r="C250" t="str">
            <v>إخراج</v>
          </cell>
          <cell r="G250">
            <v>309</v>
          </cell>
          <cell r="H250">
            <v>6</v>
          </cell>
          <cell r="I250">
            <v>3</v>
          </cell>
        </row>
        <row r="251">
          <cell r="B251" t="str">
            <v>اكسينتو اكس ارجوف - للجنسين</v>
          </cell>
          <cell r="C251" t="str">
            <v>إخراج</v>
          </cell>
          <cell r="G251">
            <v>313</v>
          </cell>
          <cell r="H251">
            <v>2</v>
          </cell>
          <cell r="I251">
            <v>3</v>
          </cell>
        </row>
        <row r="252">
          <cell r="B252" t="str">
            <v>لومال الكسير جامبول غوتيه - رجالي</v>
          </cell>
          <cell r="C252" t="str">
            <v>إخراج</v>
          </cell>
          <cell r="G252">
            <v>330</v>
          </cell>
          <cell r="H252">
            <v>2</v>
          </cell>
          <cell r="I252">
            <v>1</v>
          </cell>
        </row>
        <row r="253">
          <cell r="B253" t="str">
            <v>سكاندل بايي نايت جامبول غوتيه -رجالي</v>
          </cell>
          <cell r="C253" t="str">
            <v>إخراج</v>
          </cell>
          <cell r="G253">
            <v>204</v>
          </cell>
          <cell r="H253">
            <v>1</v>
          </cell>
          <cell r="I253">
            <v>5</v>
          </cell>
        </row>
        <row r="254">
          <cell r="B254" t="str">
            <v>لاكوست وايت - رجالي</v>
          </cell>
          <cell r="C254" t="str">
            <v>إخراج</v>
          </cell>
          <cell r="G254">
            <v>600</v>
          </cell>
          <cell r="H254">
            <v>3</v>
          </cell>
          <cell r="I254">
            <v>4</v>
          </cell>
        </row>
        <row r="255">
          <cell r="B255" t="str">
            <v>مونت بلانك ليجينت - رجاليي</v>
          </cell>
          <cell r="C255" t="str">
            <v>إخراج</v>
          </cell>
          <cell r="G255">
            <v>499</v>
          </cell>
          <cell r="H255">
            <v>3</v>
          </cell>
          <cell r="I255">
            <v>1</v>
          </cell>
        </row>
        <row r="256">
          <cell r="B256" t="str">
            <v>بومب شيل فيكتوريا سيكرت - نسائي</v>
          </cell>
          <cell r="C256" t="str">
            <v>إخراج</v>
          </cell>
          <cell r="G256">
            <v>520</v>
          </cell>
          <cell r="H256">
            <v>4</v>
          </cell>
          <cell r="I256">
            <v>1</v>
          </cell>
        </row>
        <row r="257">
          <cell r="B257" t="str">
            <v>لوف اذ هفنلي فيكتوريا سكرت - نسائي</v>
          </cell>
          <cell r="C257" t="str">
            <v>إخراج</v>
          </cell>
          <cell r="G257">
            <v>93</v>
          </cell>
          <cell r="H257">
            <v>5</v>
          </cell>
          <cell r="I257">
            <v>3</v>
          </cell>
        </row>
        <row r="258">
          <cell r="B258" t="str">
            <v>وان اند اونلي قصة - للجنسين</v>
          </cell>
          <cell r="C258" t="str">
            <v>إخراج</v>
          </cell>
          <cell r="G258">
            <v>239</v>
          </cell>
          <cell r="H258">
            <v>5</v>
          </cell>
          <cell r="I258">
            <v>3</v>
          </cell>
        </row>
        <row r="259">
          <cell r="B259" t="str">
            <v>سيلفر داست - غبار الفضة - ميدنايت فانتازي - نسائي</v>
          </cell>
          <cell r="C259" t="str">
            <v>إخراج</v>
          </cell>
          <cell r="G259">
            <v>368</v>
          </cell>
          <cell r="H259">
            <v>5</v>
          </cell>
          <cell r="I259">
            <v>2</v>
          </cell>
        </row>
        <row r="260">
          <cell r="B260" t="str">
            <v>ليبر Y.S.L-نسائي</v>
          </cell>
          <cell r="C260" t="str">
            <v>إخراج</v>
          </cell>
          <cell r="G260">
            <v>498</v>
          </cell>
          <cell r="H260">
            <v>5</v>
          </cell>
          <cell r="I260">
            <v>5</v>
          </cell>
        </row>
        <row r="261">
          <cell r="B261" t="str">
            <v>رالف رولين - روج - نسائي</v>
          </cell>
          <cell r="C261" t="str">
            <v>إخراج</v>
          </cell>
          <cell r="G261">
            <v>560</v>
          </cell>
          <cell r="H261">
            <v>5</v>
          </cell>
          <cell r="I261">
            <v>6</v>
          </cell>
        </row>
        <row r="262">
          <cell r="B262" t="str">
            <v>سكاندل بايي نايت جامبول غوتيه -نسائي</v>
          </cell>
          <cell r="C262" t="str">
            <v>إخراج</v>
          </cell>
          <cell r="G262">
            <v>303</v>
          </cell>
          <cell r="H262">
            <v>4</v>
          </cell>
          <cell r="I262">
            <v>4</v>
          </cell>
        </row>
        <row r="263">
          <cell r="B263" t="str">
            <v xml:space="preserve">مسك طهارة شفاف - مسك قرشي - للجنسين </v>
          </cell>
          <cell r="C263" t="str">
            <v>إخراج</v>
          </cell>
          <cell r="G263">
            <v>43</v>
          </cell>
          <cell r="H263">
            <v>6</v>
          </cell>
          <cell r="I263">
            <v>6</v>
          </cell>
        </row>
        <row r="264">
          <cell r="B264" t="str">
            <v>شانص اوتندر شانيل - نسائي</v>
          </cell>
          <cell r="C264" t="str">
            <v>إخراج</v>
          </cell>
          <cell r="G264">
            <v>145</v>
          </cell>
          <cell r="H264">
            <v>5</v>
          </cell>
          <cell r="I264">
            <v>4</v>
          </cell>
        </row>
        <row r="265">
          <cell r="B265" t="str">
            <v>شانص اوتندر شانيل - نسائي</v>
          </cell>
          <cell r="C265" t="str">
            <v>إخراج</v>
          </cell>
          <cell r="G265">
            <v>300</v>
          </cell>
          <cell r="H265">
            <v>5</v>
          </cell>
          <cell r="I265">
            <v>4</v>
          </cell>
        </row>
        <row r="266">
          <cell r="B266" t="str">
            <v>افينتوس كريد - رجالي</v>
          </cell>
          <cell r="C266" t="str">
            <v>إخراج</v>
          </cell>
          <cell r="G266">
            <v>200</v>
          </cell>
          <cell r="H266">
            <v>2</v>
          </cell>
          <cell r="I266" t="str">
            <v>1ط2</v>
          </cell>
        </row>
        <row r="267">
          <cell r="B267" t="str">
            <v xml:space="preserve">توماس كوسمالا 4 - للجنسين </v>
          </cell>
          <cell r="C267" t="str">
            <v>إخراج</v>
          </cell>
          <cell r="G267">
            <v>322</v>
          </cell>
          <cell r="H267">
            <v>3</v>
          </cell>
          <cell r="I267">
            <v>4</v>
          </cell>
        </row>
        <row r="268">
          <cell r="B268" t="str">
            <v>سكاندل بايي نايت جامبول غوتيه -نسائي</v>
          </cell>
          <cell r="C268" t="str">
            <v>إخراج</v>
          </cell>
          <cell r="G268">
            <v>330</v>
          </cell>
          <cell r="H268">
            <v>4</v>
          </cell>
          <cell r="I268">
            <v>4</v>
          </cell>
        </row>
        <row r="269">
          <cell r="B269" t="str">
            <v>ليبر Y.S.L-نسائي</v>
          </cell>
          <cell r="C269" t="str">
            <v>إخراج</v>
          </cell>
          <cell r="G269">
            <v>400</v>
          </cell>
          <cell r="H269">
            <v>5</v>
          </cell>
          <cell r="I269">
            <v>5</v>
          </cell>
        </row>
        <row r="270">
          <cell r="B270" t="str">
            <v xml:space="preserve">بوا امبريال اسينشيال - للجنسين </v>
          </cell>
          <cell r="C270" t="str">
            <v>إدخال</v>
          </cell>
          <cell r="G270">
            <v>1000</v>
          </cell>
          <cell r="H270">
            <v>3</v>
          </cell>
          <cell r="I270">
            <v>4</v>
          </cell>
        </row>
        <row r="271">
          <cell r="B271" t="str">
            <v>بلاك اكس اس باكورابان - رجالي</v>
          </cell>
          <cell r="C271" t="str">
            <v>إدخال</v>
          </cell>
          <cell r="G271">
            <v>1000</v>
          </cell>
          <cell r="H271">
            <v>2</v>
          </cell>
          <cell r="I271">
            <v>2</v>
          </cell>
        </row>
        <row r="272">
          <cell r="B272" t="str">
            <v>شانص اوتندر شانيل - نسائي</v>
          </cell>
          <cell r="C272" t="str">
            <v>إدخال</v>
          </cell>
          <cell r="G272">
            <v>1000</v>
          </cell>
          <cell r="H272">
            <v>5</v>
          </cell>
          <cell r="I272">
            <v>4</v>
          </cell>
        </row>
        <row r="273">
          <cell r="B273" t="str">
            <v>انفكتوس باكورابان - رجالي</v>
          </cell>
          <cell r="C273" t="str">
            <v>إدخال</v>
          </cell>
          <cell r="G273">
            <v>1000</v>
          </cell>
          <cell r="H273">
            <v>3</v>
          </cell>
          <cell r="I273">
            <v>5</v>
          </cell>
        </row>
        <row r="274">
          <cell r="B274" t="str">
            <v>سترونغر وذ يو امبريو ارماني - رجالي</v>
          </cell>
          <cell r="C274" t="str">
            <v>إدخال</v>
          </cell>
          <cell r="G274">
            <v>2000</v>
          </cell>
          <cell r="H274">
            <v>3</v>
          </cell>
          <cell r="I274">
            <v>5</v>
          </cell>
        </row>
        <row r="275">
          <cell r="B275" t="str">
            <v xml:space="preserve">بوا امبريال اسينشيال - للجنسين </v>
          </cell>
          <cell r="C275" t="str">
            <v>إخراج</v>
          </cell>
          <cell r="G275">
            <v>380</v>
          </cell>
          <cell r="H275">
            <v>3</v>
          </cell>
          <cell r="I275">
            <v>4</v>
          </cell>
        </row>
        <row r="276">
          <cell r="B276" t="str">
            <v>شانص اوتندر شانيل - نسائي</v>
          </cell>
          <cell r="C276" t="str">
            <v>إخراج</v>
          </cell>
          <cell r="G276">
            <v>400</v>
          </cell>
          <cell r="H276">
            <v>5</v>
          </cell>
          <cell r="I276">
            <v>4</v>
          </cell>
        </row>
        <row r="277">
          <cell r="B277" t="str">
            <v xml:space="preserve">بوا امبريال اسينشيال - للجنسين </v>
          </cell>
          <cell r="C277" t="str">
            <v>إخراج</v>
          </cell>
          <cell r="G277">
            <v>458</v>
          </cell>
          <cell r="H277">
            <v>3</v>
          </cell>
          <cell r="I277">
            <v>4</v>
          </cell>
        </row>
        <row r="278">
          <cell r="B278" t="str">
            <v>شانص اوتندر شانيل - نسائي</v>
          </cell>
          <cell r="C278" t="str">
            <v>إخراج</v>
          </cell>
          <cell r="G278">
            <v>500</v>
          </cell>
          <cell r="H278">
            <v>5</v>
          </cell>
          <cell r="I278">
            <v>4</v>
          </cell>
        </row>
        <row r="279">
          <cell r="B279" t="str">
            <v>سترونغر وذ يو امبريو ارماني - رجالي</v>
          </cell>
          <cell r="C279" t="str">
            <v>إخراج</v>
          </cell>
          <cell r="G279">
            <v>500</v>
          </cell>
          <cell r="H279">
            <v>3</v>
          </cell>
          <cell r="I279">
            <v>5</v>
          </cell>
        </row>
        <row r="280">
          <cell r="B280" t="str">
            <v>سترونغر وذ يو امبريو ارماني - رجالي</v>
          </cell>
          <cell r="C280" t="str">
            <v>إخراج</v>
          </cell>
          <cell r="G280">
            <v>500</v>
          </cell>
          <cell r="H280">
            <v>3</v>
          </cell>
          <cell r="I280">
            <v>5</v>
          </cell>
        </row>
        <row r="281">
          <cell r="B281" t="str">
            <v>كيالي فانيل  28 - نسائي</v>
          </cell>
          <cell r="C281" t="str">
            <v>إخراج</v>
          </cell>
          <cell r="G281">
            <v>250</v>
          </cell>
          <cell r="H281">
            <v>6</v>
          </cell>
          <cell r="I281">
            <v>6</v>
          </cell>
        </row>
        <row r="282">
          <cell r="B282" t="str">
            <v>موست وانتد ازارو - رجالي</v>
          </cell>
          <cell r="C282" t="str">
            <v>إخراج</v>
          </cell>
          <cell r="G282">
            <v>363</v>
          </cell>
          <cell r="H282">
            <v>3</v>
          </cell>
          <cell r="I282">
            <v>3</v>
          </cell>
        </row>
        <row r="283">
          <cell r="B283" t="str">
            <v>مارشميلو كيالي - نسائي</v>
          </cell>
          <cell r="C283" t="str">
            <v>إخراج</v>
          </cell>
          <cell r="G283">
            <v>193</v>
          </cell>
          <cell r="H283">
            <v>5</v>
          </cell>
          <cell r="I283">
            <v>1</v>
          </cell>
        </row>
        <row r="284">
          <cell r="B284" t="str">
            <v xml:space="preserve">سلك مسك رصاصي - لاكشري مسك - للجنسين </v>
          </cell>
          <cell r="C284" t="str">
            <v>إخراج</v>
          </cell>
          <cell r="G284">
            <v>300</v>
          </cell>
          <cell r="H284">
            <v>3</v>
          </cell>
          <cell r="I284">
            <v>1</v>
          </cell>
        </row>
        <row r="285">
          <cell r="B285" t="str">
            <v>سترونغر وذ يو انتنسلي امبريو ارماني - رجالي</v>
          </cell>
          <cell r="C285" t="str">
            <v>إدخال</v>
          </cell>
          <cell r="G285">
            <v>1000</v>
          </cell>
          <cell r="H285">
            <v>3</v>
          </cell>
          <cell r="I285">
            <v>4</v>
          </cell>
        </row>
        <row r="286">
          <cell r="B286" t="str">
            <v>سترونغر وذ يو انتنسلي امبريو ارماني - رجالي</v>
          </cell>
          <cell r="C286" t="str">
            <v>إخراج</v>
          </cell>
          <cell r="G286">
            <v>500</v>
          </cell>
          <cell r="H286">
            <v>3</v>
          </cell>
          <cell r="I286">
            <v>4</v>
          </cell>
        </row>
        <row r="287">
          <cell r="B287" t="str">
            <v>رالف رولين - روج - نسائي</v>
          </cell>
          <cell r="C287" t="str">
            <v>إخراج</v>
          </cell>
          <cell r="G287">
            <v>14</v>
          </cell>
          <cell r="H287">
            <v>5</v>
          </cell>
          <cell r="I287">
            <v>6</v>
          </cell>
        </row>
        <row r="288">
          <cell r="B288" t="str">
            <v>هامول - للجنسين</v>
          </cell>
          <cell r="C288" t="str">
            <v>إخراج</v>
          </cell>
          <cell r="G288">
            <v>300</v>
          </cell>
          <cell r="H288">
            <v>4</v>
          </cell>
          <cell r="I288">
            <v>1</v>
          </cell>
        </row>
        <row r="289">
          <cell r="B289" t="str">
            <v>فهرنهايت كريستيان ديور - رجالي</v>
          </cell>
          <cell r="C289" t="str">
            <v>إخراج</v>
          </cell>
          <cell r="G289">
            <v>284</v>
          </cell>
          <cell r="H289">
            <v>3</v>
          </cell>
          <cell r="I289">
            <v>4</v>
          </cell>
        </row>
        <row r="290">
          <cell r="B290" t="str">
            <v>لابومبا كارولينا هيريرا -  نسائي</v>
          </cell>
          <cell r="C290" t="str">
            <v>إخراج</v>
          </cell>
          <cell r="G290">
            <v>200</v>
          </cell>
          <cell r="H290">
            <v>4</v>
          </cell>
          <cell r="I290">
            <v>3</v>
          </cell>
        </row>
        <row r="291">
          <cell r="B291" t="str">
            <v xml:space="preserve">كركي تزيانا تيرينزي - للجنسين </v>
          </cell>
          <cell r="C291" t="str">
            <v>إخراج</v>
          </cell>
          <cell r="G291">
            <v>136</v>
          </cell>
          <cell r="H291">
            <v>3</v>
          </cell>
          <cell r="I291" t="str">
            <v>2ط2</v>
          </cell>
        </row>
        <row r="292">
          <cell r="B292" t="str">
            <v xml:space="preserve">توماس كوسمالا 4 - للجنسين </v>
          </cell>
          <cell r="C292" t="str">
            <v>إخراج</v>
          </cell>
          <cell r="G292">
            <v>168</v>
          </cell>
          <cell r="H292">
            <v>3</v>
          </cell>
          <cell r="I292">
            <v>4</v>
          </cell>
        </row>
        <row r="293">
          <cell r="B293" t="str">
            <v>مسك رمان إبراهيم قرشي -للجنسين</v>
          </cell>
          <cell r="C293" t="str">
            <v>إدخال</v>
          </cell>
          <cell r="G293">
            <v>700</v>
          </cell>
          <cell r="H293" t="str">
            <v>مختوم ومسك</v>
          </cell>
          <cell r="I293" t="str">
            <v>-</v>
          </cell>
        </row>
        <row r="294">
          <cell r="B294" t="str">
            <v>مسك رمان إبراهيم قرشي -للجنسين</v>
          </cell>
          <cell r="C294" t="str">
            <v>إخراج</v>
          </cell>
          <cell r="G294">
            <v>253</v>
          </cell>
          <cell r="H294" t="str">
            <v>مختوم ومسك</v>
          </cell>
          <cell r="I294" t="str">
            <v>-</v>
          </cell>
        </row>
        <row r="295">
          <cell r="B295" t="str">
            <v>مسك رمان إبراهيم قرشي -للجنسين</v>
          </cell>
          <cell r="C295" t="str">
            <v>إخراج</v>
          </cell>
          <cell r="G295">
            <v>203</v>
          </cell>
          <cell r="H295" t="str">
            <v>مختوم ومسك</v>
          </cell>
          <cell r="I295" t="str">
            <v>-</v>
          </cell>
        </row>
        <row r="296">
          <cell r="B296" t="str">
            <v>انفكتوس باكورابان - رجالي</v>
          </cell>
          <cell r="C296" t="str">
            <v>إخراج</v>
          </cell>
          <cell r="G296">
            <v>500</v>
          </cell>
          <cell r="H296">
            <v>3</v>
          </cell>
          <cell r="I296">
            <v>5</v>
          </cell>
        </row>
        <row r="297">
          <cell r="B297" t="str">
            <v>انفكتوس باكورابان - رجالي</v>
          </cell>
          <cell r="C297" t="str">
            <v>إخراج</v>
          </cell>
          <cell r="G297">
            <v>500</v>
          </cell>
          <cell r="H297">
            <v>3</v>
          </cell>
          <cell r="I297">
            <v>5</v>
          </cell>
        </row>
        <row r="298">
          <cell r="B298" t="str">
            <v xml:space="preserve">مسك طهارة إبراهيم القرشي - للجنسين </v>
          </cell>
          <cell r="C298" t="str">
            <v>إخراج</v>
          </cell>
          <cell r="G298">
            <v>700</v>
          </cell>
          <cell r="H298" t="str">
            <v>مختوم ومسك</v>
          </cell>
          <cell r="I298" t="str">
            <v>-</v>
          </cell>
        </row>
        <row r="299">
          <cell r="C299" t="str">
            <v>إخراج</v>
          </cell>
          <cell r="G299">
            <v>0</v>
          </cell>
          <cell r="H299" t="str">
            <v/>
          </cell>
          <cell r="I299" t="str">
            <v/>
          </cell>
        </row>
        <row r="300">
          <cell r="B300" t="str">
            <v xml:space="preserve">مسك فانيل إبراهيم القرشي - للجنسين </v>
          </cell>
          <cell r="C300" t="str">
            <v>إخراج</v>
          </cell>
          <cell r="G300">
            <v>131</v>
          </cell>
          <cell r="H300" t="str">
            <v>مختوم ومسك</v>
          </cell>
          <cell r="I300" t="str">
            <v>-</v>
          </cell>
        </row>
        <row r="301">
          <cell r="B301" t="str">
            <v>الكسندريا 2 اكس زارجوف - رجالي</v>
          </cell>
          <cell r="C301" t="str">
            <v>إخراج</v>
          </cell>
          <cell r="G301">
            <v>200</v>
          </cell>
          <cell r="H301">
            <v>3</v>
          </cell>
          <cell r="I301" t="str">
            <v>1ط2</v>
          </cell>
        </row>
        <row r="302">
          <cell r="B302" t="str">
            <v xml:space="preserve">بوا امبريال اسينشيال - للجنسين </v>
          </cell>
          <cell r="C302" t="str">
            <v>إخراج</v>
          </cell>
          <cell r="G302">
            <v>200</v>
          </cell>
          <cell r="H302">
            <v>3</v>
          </cell>
          <cell r="I302">
            <v>4</v>
          </cell>
        </row>
        <row r="303">
          <cell r="C303" t="str">
            <v>إخراج</v>
          </cell>
          <cell r="G303">
            <v>0</v>
          </cell>
          <cell r="H303" t="str">
            <v/>
          </cell>
          <cell r="I303" t="str">
            <v/>
          </cell>
        </row>
        <row r="304">
          <cell r="C304" t="str">
            <v>إخراج</v>
          </cell>
          <cell r="G304">
            <v>0</v>
          </cell>
          <cell r="H304" t="str">
            <v/>
          </cell>
          <cell r="I304" t="str">
            <v/>
          </cell>
        </row>
        <row r="305">
          <cell r="B305" t="str">
            <v xml:space="preserve">مسك باودر إبراهيم القرشي - للجنسين </v>
          </cell>
          <cell r="C305" t="str">
            <v>إخراج</v>
          </cell>
          <cell r="G305">
            <v>260</v>
          </cell>
          <cell r="H305" t="str">
            <v>مختوم ومسك</v>
          </cell>
          <cell r="I305" t="str">
            <v>-</v>
          </cell>
        </row>
        <row r="306">
          <cell r="B306" t="str">
            <v xml:space="preserve">لوكس - للجنسين </v>
          </cell>
          <cell r="C306" t="str">
            <v>إخراج</v>
          </cell>
          <cell r="G306">
            <v>211</v>
          </cell>
          <cell r="H306">
            <v>6</v>
          </cell>
          <cell r="I306">
            <v>4</v>
          </cell>
        </row>
        <row r="307">
          <cell r="C307" t="str">
            <v>إخراج</v>
          </cell>
          <cell r="G307">
            <v>0</v>
          </cell>
          <cell r="H307" t="str">
            <v/>
          </cell>
          <cell r="I307" t="str">
            <v/>
          </cell>
        </row>
        <row r="308">
          <cell r="B308" t="str">
            <v>لايتون بارفام ديمارلي - رجالي</v>
          </cell>
          <cell r="C308" t="str">
            <v>إدخال</v>
          </cell>
          <cell r="G308">
            <v>1000</v>
          </cell>
          <cell r="H308">
            <v>2</v>
          </cell>
          <cell r="I308">
            <v>1</v>
          </cell>
        </row>
        <row r="309">
          <cell r="B309" t="str">
            <v>رالف رولين - روج - نسائي</v>
          </cell>
          <cell r="C309" t="str">
            <v>إدخال</v>
          </cell>
          <cell r="G309">
            <v>1000</v>
          </cell>
          <cell r="H309">
            <v>5</v>
          </cell>
          <cell r="I309">
            <v>6</v>
          </cell>
        </row>
        <row r="310">
          <cell r="B310" t="str">
            <v>شانيل 5 - نسائي</v>
          </cell>
          <cell r="C310" t="str">
            <v>إدخال</v>
          </cell>
          <cell r="G310">
            <v>1000</v>
          </cell>
          <cell r="H310">
            <v>4</v>
          </cell>
          <cell r="I310">
            <v>2</v>
          </cell>
        </row>
        <row r="311">
          <cell r="B311" t="str">
            <v>سي باشن جورجيو ارماني - نسائي</v>
          </cell>
          <cell r="C311" t="str">
            <v>إدخال</v>
          </cell>
          <cell r="G311">
            <v>1000</v>
          </cell>
          <cell r="H311">
            <v>5</v>
          </cell>
          <cell r="I311">
            <v>3</v>
          </cell>
        </row>
        <row r="312">
          <cell r="B312" t="str">
            <v>ايكو دافيدوف -كراش فيكتوريا سيكرت - نسائي</v>
          </cell>
          <cell r="C312" t="str">
            <v>إدخال</v>
          </cell>
          <cell r="G312">
            <v>1000</v>
          </cell>
          <cell r="H312">
            <v>5</v>
          </cell>
          <cell r="I312">
            <v>3</v>
          </cell>
        </row>
        <row r="313">
          <cell r="B313" t="str">
            <v>ماي واي جورجيو ارماني - نسائي</v>
          </cell>
          <cell r="C313" t="str">
            <v>إدخال</v>
          </cell>
          <cell r="G313">
            <v>1000</v>
          </cell>
          <cell r="H313">
            <v>4</v>
          </cell>
          <cell r="I313">
            <v>1</v>
          </cell>
        </row>
        <row r="314">
          <cell r="B314" t="str">
            <v>بلو فور مان رصاصي - رجاليي</v>
          </cell>
          <cell r="C314" t="str">
            <v>إدخال</v>
          </cell>
          <cell r="G314">
            <v>1000</v>
          </cell>
          <cell r="H314">
            <v>3</v>
          </cell>
          <cell r="I314">
            <v>1</v>
          </cell>
        </row>
        <row r="315">
          <cell r="B315" t="str">
            <v>عنبر عود اجمل - للجنسين</v>
          </cell>
          <cell r="C315" t="str">
            <v>إدخال</v>
          </cell>
          <cell r="G315">
            <v>1000</v>
          </cell>
          <cell r="H315">
            <v>1</v>
          </cell>
          <cell r="I315">
            <v>5</v>
          </cell>
        </row>
        <row r="316">
          <cell r="B316" t="str">
            <v>بيغاسوس بارفام ديمارلي - رجالي</v>
          </cell>
          <cell r="C316" t="str">
            <v>إدخال</v>
          </cell>
          <cell r="G316">
            <v>1000</v>
          </cell>
          <cell r="H316">
            <v>2</v>
          </cell>
          <cell r="I316">
            <v>1</v>
          </cell>
        </row>
        <row r="317">
          <cell r="B317" t="str">
            <v>ميغامار اورتو باريس - رجالي</v>
          </cell>
          <cell r="C317" t="str">
            <v>إدخال</v>
          </cell>
          <cell r="G317">
            <v>1000</v>
          </cell>
          <cell r="H317">
            <v>1</v>
          </cell>
          <cell r="I317">
            <v>6</v>
          </cell>
        </row>
        <row r="318">
          <cell r="B318" t="str">
            <v>باسفك تشيل L.V  - للجنسين</v>
          </cell>
          <cell r="C318" t="str">
            <v>إدخال</v>
          </cell>
          <cell r="G318">
            <v>1000</v>
          </cell>
          <cell r="H318">
            <v>2</v>
          </cell>
          <cell r="I318" t="str">
            <v>3ط2</v>
          </cell>
        </row>
        <row r="319">
          <cell r="B319" t="str">
            <v xml:space="preserve">توماس كوسمالا 4 - للجنسين </v>
          </cell>
          <cell r="C319" t="str">
            <v>إدخال</v>
          </cell>
          <cell r="G319">
            <v>76</v>
          </cell>
          <cell r="H319">
            <v>3</v>
          </cell>
          <cell r="I319">
            <v>4</v>
          </cell>
        </row>
        <row r="320">
          <cell r="B320" t="str">
            <v>باسفك تشيل L.V  - للجنسين</v>
          </cell>
          <cell r="C320" t="str">
            <v>إخراج</v>
          </cell>
          <cell r="G320">
            <v>153</v>
          </cell>
          <cell r="H320">
            <v>2</v>
          </cell>
          <cell r="I320" t="str">
            <v>3ط2</v>
          </cell>
        </row>
        <row r="321">
          <cell r="B321" t="str">
            <v>ماي واي جورجيو ارماني - نسائي</v>
          </cell>
          <cell r="C321" t="str">
            <v>إخراج</v>
          </cell>
          <cell r="G321">
            <v>325</v>
          </cell>
          <cell r="H321">
            <v>4</v>
          </cell>
          <cell r="I321">
            <v>1</v>
          </cell>
        </row>
        <row r="322">
          <cell r="B322" t="str">
            <v>رالف رولين - روج - نسائي</v>
          </cell>
          <cell r="C322" t="str">
            <v>إخراج</v>
          </cell>
          <cell r="G322">
            <v>404</v>
          </cell>
          <cell r="H322">
            <v>5</v>
          </cell>
          <cell r="I322">
            <v>6</v>
          </cell>
        </row>
        <row r="323">
          <cell r="B323" t="str">
            <v>شانيل 5 - نسائي</v>
          </cell>
          <cell r="C323" t="str">
            <v>إخراج</v>
          </cell>
          <cell r="G323">
            <v>262</v>
          </cell>
          <cell r="H323">
            <v>4</v>
          </cell>
          <cell r="I323">
            <v>2</v>
          </cell>
        </row>
        <row r="324">
          <cell r="B324" t="str">
            <v>فلانتينو بورن ان روما - رجالي</v>
          </cell>
          <cell r="C324" t="str">
            <v>إدخال</v>
          </cell>
          <cell r="G324">
            <v>1000</v>
          </cell>
          <cell r="H324" t="str">
            <v/>
          </cell>
          <cell r="I324" t="str">
            <v/>
          </cell>
        </row>
        <row r="325">
          <cell r="B325" t="str">
            <v xml:space="preserve">مسك فانيل إبراهيم القرشي - للجنسين </v>
          </cell>
          <cell r="C325" t="str">
            <v>إدخال</v>
          </cell>
          <cell r="G325">
            <v>165</v>
          </cell>
          <cell r="H325" t="str">
            <v>مختوم ومسك</v>
          </cell>
          <cell r="I325" t="str">
            <v>-</v>
          </cell>
        </row>
        <row r="326">
          <cell r="B326" t="str">
            <v>لاكشري دارك - مستودع</v>
          </cell>
          <cell r="C326" t="str">
            <v>إخراج</v>
          </cell>
          <cell r="G326">
            <v>0</v>
          </cell>
          <cell r="H326" t="str">
            <v/>
          </cell>
          <cell r="I326" t="str">
            <v/>
          </cell>
        </row>
        <row r="327">
          <cell r="B327" t="str">
            <v>سترونغر وذ يو امبريو ارماني - رجالي</v>
          </cell>
          <cell r="C327" t="str">
            <v>إخراج</v>
          </cell>
          <cell r="G327">
            <v>300</v>
          </cell>
          <cell r="H327">
            <v>3</v>
          </cell>
          <cell r="I327">
            <v>5</v>
          </cell>
        </row>
        <row r="328">
          <cell r="B328" t="str">
            <v>موست وانتد ازارو - رجالي</v>
          </cell>
          <cell r="C328" t="str">
            <v>إخراج</v>
          </cell>
          <cell r="G328">
            <v>212</v>
          </cell>
          <cell r="H328">
            <v>3</v>
          </cell>
          <cell r="I328">
            <v>3</v>
          </cell>
        </row>
        <row r="329">
          <cell r="B329" t="str">
            <v>شانص اوتندر شانيل - نسائي</v>
          </cell>
          <cell r="C329" t="str">
            <v>إخراج</v>
          </cell>
          <cell r="G329">
            <v>454</v>
          </cell>
          <cell r="H329">
            <v>5</v>
          </cell>
          <cell r="I329">
            <v>4</v>
          </cell>
        </row>
        <row r="330">
          <cell r="B330" t="str">
            <v xml:space="preserve">بارادايس غاردن  جامبول غويته - رجالي </v>
          </cell>
          <cell r="C330" t="str">
            <v>إخراج</v>
          </cell>
          <cell r="G330">
            <v>203</v>
          </cell>
          <cell r="H330">
            <v>3</v>
          </cell>
          <cell r="I330" t="str">
            <v>1ط2</v>
          </cell>
        </row>
        <row r="331">
          <cell r="B331" t="str">
            <v>شانص اوتندر شانيل - نسائي</v>
          </cell>
          <cell r="C331" t="str">
            <v>إدخال</v>
          </cell>
          <cell r="G331">
            <v>654</v>
          </cell>
          <cell r="H331">
            <v>5</v>
          </cell>
          <cell r="I331">
            <v>4</v>
          </cell>
        </row>
        <row r="332">
          <cell r="B332" t="str">
            <v>كيالي فانيل  28 - نسائي</v>
          </cell>
          <cell r="C332" t="str">
            <v>إخراج</v>
          </cell>
          <cell r="G332">
            <v>150</v>
          </cell>
          <cell r="H332">
            <v>6</v>
          </cell>
          <cell r="I332">
            <v>6</v>
          </cell>
        </row>
        <row r="333">
          <cell r="B333" t="str">
            <v>ماتري بريميير - للجنسين</v>
          </cell>
          <cell r="C333" t="str">
            <v>إخراج</v>
          </cell>
          <cell r="G333">
            <v>150</v>
          </cell>
          <cell r="H333">
            <v>6</v>
          </cell>
          <cell r="I333">
            <v>4</v>
          </cell>
        </row>
        <row r="334">
          <cell r="B334" t="str">
            <v>تاج سنسيت سكادة - نسائي</v>
          </cell>
          <cell r="C334" t="str">
            <v>إخراج</v>
          </cell>
          <cell r="G334">
            <v>150</v>
          </cell>
          <cell r="H334">
            <v>5</v>
          </cell>
          <cell r="I334">
            <v>6</v>
          </cell>
        </row>
        <row r="335">
          <cell r="B335" t="str">
            <v>اكسينتو اكس ارجوف - للجنسين</v>
          </cell>
          <cell r="C335" t="str">
            <v>إخراج</v>
          </cell>
          <cell r="G335">
            <v>150</v>
          </cell>
          <cell r="H335">
            <v>2</v>
          </cell>
          <cell r="I335">
            <v>3</v>
          </cell>
        </row>
        <row r="336">
          <cell r="B336" t="str">
            <v xml:space="preserve">مسك باودر إبراهيم القرشي - للجنسين </v>
          </cell>
          <cell r="C336" t="str">
            <v>إخراج</v>
          </cell>
          <cell r="G336">
            <v>150</v>
          </cell>
          <cell r="H336" t="str">
            <v>مختوم ومسك</v>
          </cell>
          <cell r="I336" t="str">
            <v>-</v>
          </cell>
        </row>
        <row r="337">
          <cell r="B337" t="str">
            <v>سترونغر وذ يو امبريو ارماني - رجالي</v>
          </cell>
          <cell r="C337" t="str">
            <v>إدخال</v>
          </cell>
          <cell r="G337">
            <v>2000</v>
          </cell>
          <cell r="H337">
            <v>3</v>
          </cell>
          <cell r="I337">
            <v>5</v>
          </cell>
        </row>
        <row r="338">
          <cell r="B338" t="str">
            <v xml:space="preserve">توماس كوسمالا 4 - للجنسين </v>
          </cell>
          <cell r="C338" t="str">
            <v>إدخال</v>
          </cell>
          <cell r="G338">
            <v>1000</v>
          </cell>
          <cell r="H338">
            <v>3</v>
          </cell>
          <cell r="I338">
            <v>4</v>
          </cell>
        </row>
        <row r="339">
          <cell r="B339" t="str">
            <v xml:space="preserve">توماس كوسمالا 4 - للجنسين </v>
          </cell>
          <cell r="C339" t="str">
            <v>إخراج</v>
          </cell>
          <cell r="G339">
            <v>300</v>
          </cell>
          <cell r="H339">
            <v>3</v>
          </cell>
          <cell r="I339">
            <v>4</v>
          </cell>
        </row>
        <row r="340">
          <cell r="B340" t="str">
            <v>ماتري بريميير - للجنسين</v>
          </cell>
          <cell r="C340" t="str">
            <v>إخراج</v>
          </cell>
          <cell r="G340">
            <v>321</v>
          </cell>
          <cell r="H340">
            <v>6</v>
          </cell>
          <cell r="I340">
            <v>4</v>
          </cell>
        </row>
        <row r="341">
          <cell r="B341" t="str">
            <v>مارشميلو كيالي - نسائي</v>
          </cell>
          <cell r="C341" t="str">
            <v>إخراج</v>
          </cell>
          <cell r="G341">
            <v>102</v>
          </cell>
          <cell r="H341">
            <v>5</v>
          </cell>
          <cell r="I341">
            <v>1</v>
          </cell>
        </row>
        <row r="342">
          <cell r="B342" t="str">
            <v>بلاك اكس اس باكورابان - رجالي</v>
          </cell>
          <cell r="C342" t="str">
            <v>إخراج</v>
          </cell>
          <cell r="G342">
            <v>365</v>
          </cell>
          <cell r="H342">
            <v>2</v>
          </cell>
          <cell r="I342">
            <v>2</v>
          </cell>
        </row>
        <row r="343">
          <cell r="B343" t="str">
            <v>عود بوكيه لانكوم - للجنسين</v>
          </cell>
          <cell r="C343" t="str">
            <v>إدخال</v>
          </cell>
          <cell r="G343">
            <v>1000</v>
          </cell>
          <cell r="H343" t="str">
            <v/>
          </cell>
          <cell r="I343" t="str">
            <v/>
          </cell>
        </row>
        <row r="344">
          <cell r="B344" t="str">
            <v>بكرات روج mfk -للجنسين</v>
          </cell>
          <cell r="C344" t="str">
            <v>إخراج</v>
          </cell>
          <cell r="G344">
            <v>364</v>
          </cell>
          <cell r="H344">
            <v>3</v>
          </cell>
          <cell r="I344">
            <v>3</v>
          </cell>
        </row>
        <row r="345">
          <cell r="B345" t="str">
            <v>عود بوكيه لانكوم - للجنسين</v>
          </cell>
          <cell r="C345" t="str">
            <v>إخراج</v>
          </cell>
          <cell r="G345">
            <v>500</v>
          </cell>
          <cell r="H345" t="str">
            <v/>
          </cell>
          <cell r="I345" t="str">
            <v/>
          </cell>
        </row>
        <row r="346">
          <cell r="B346" t="str">
            <v>فوياج  اراميس - رجالي</v>
          </cell>
          <cell r="C346" t="str">
            <v>إخراج</v>
          </cell>
          <cell r="G346">
            <v>150</v>
          </cell>
          <cell r="H346">
            <v>3</v>
          </cell>
          <cell r="I346">
            <v>2</v>
          </cell>
        </row>
        <row r="347">
          <cell r="B347" t="str">
            <v>اربابورا  سوسبيرو - رجالي</v>
          </cell>
          <cell r="C347" t="str">
            <v>إخراج</v>
          </cell>
          <cell r="G347">
            <v>150</v>
          </cell>
          <cell r="H347">
            <v>3</v>
          </cell>
          <cell r="I347">
            <v>2</v>
          </cell>
        </row>
        <row r="348">
          <cell r="B348" t="str">
            <v>خمرة لطافة - للجنسين</v>
          </cell>
          <cell r="C348" t="str">
            <v>إخراج</v>
          </cell>
          <cell r="G348">
            <v>129</v>
          </cell>
          <cell r="H348">
            <v>2</v>
          </cell>
          <cell r="I348">
            <v>4</v>
          </cell>
        </row>
        <row r="349">
          <cell r="B349" t="str">
            <v>خمرة قهوة لطافة -للجنسين</v>
          </cell>
          <cell r="C349" t="str">
            <v>إخراج</v>
          </cell>
          <cell r="G349">
            <v>72</v>
          </cell>
          <cell r="H349">
            <v>6</v>
          </cell>
          <cell r="I349">
            <v>5</v>
          </cell>
        </row>
        <row r="350">
          <cell r="B350" t="str">
            <v>بينك شيفون - يارا - نسائي</v>
          </cell>
          <cell r="C350" t="str">
            <v>إخراج</v>
          </cell>
          <cell r="G350">
            <v>250</v>
          </cell>
          <cell r="H350">
            <v>6</v>
          </cell>
          <cell r="I350">
            <v>3</v>
          </cell>
        </row>
        <row r="351">
          <cell r="B351" t="str">
            <v>امبريال فاليه قصة - للجنسين</v>
          </cell>
          <cell r="C351" t="str">
            <v>إخراج</v>
          </cell>
          <cell r="G351">
            <v>320</v>
          </cell>
          <cell r="H351">
            <v>2</v>
          </cell>
          <cell r="I351">
            <v>6</v>
          </cell>
        </row>
        <row r="352">
          <cell r="B352" t="str">
            <v>كيالي فانيل  28 - نسائي</v>
          </cell>
          <cell r="C352" t="str">
            <v>إخراج</v>
          </cell>
          <cell r="G352">
            <v>100</v>
          </cell>
          <cell r="H352">
            <v>6</v>
          </cell>
          <cell r="I352">
            <v>6</v>
          </cell>
        </row>
        <row r="353">
          <cell r="B353" t="str">
            <v>غود غيرل كارولينا هيريرا - نسائي</v>
          </cell>
          <cell r="C353" t="str">
            <v>إخراج</v>
          </cell>
          <cell r="G353">
            <v>200</v>
          </cell>
          <cell r="H353">
            <v>5</v>
          </cell>
          <cell r="I353">
            <v>4</v>
          </cell>
        </row>
        <row r="354">
          <cell r="B354" t="str">
            <v>هيدن شولدرز- للجنسين</v>
          </cell>
          <cell r="C354" t="str">
            <v>إخراج</v>
          </cell>
          <cell r="G354">
            <v>200</v>
          </cell>
          <cell r="H354" t="str">
            <v>مختوم ومسك</v>
          </cell>
          <cell r="I354" t="str">
            <v>-</v>
          </cell>
        </row>
        <row r="355">
          <cell r="B355" t="str">
            <v>سترونغر وذ يو انتنسلي امبريو ارماني - رجالي</v>
          </cell>
          <cell r="C355" t="str">
            <v>إخراج</v>
          </cell>
          <cell r="G355">
            <v>200</v>
          </cell>
          <cell r="H355">
            <v>3</v>
          </cell>
          <cell r="I355">
            <v>4</v>
          </cell>
        </row>
        <row r="356">
          <cell r="B356" t="str">
            <v>سوفاج كريستيان ديور - رجالي</v>
          </cell>
          <cell r="C356" t="str">
            <v>إخراج</v>
          </cell>
          <cell r="G356">
            <v>150</v>
          </cell>
          <cell r="H356">
            <v>3</v>
          </cell>
          <cell r="I356">
            <v>7</v>
          </cell>
        </row>
        <row r="357">
          <cell r="B357" t="str">
            <v>بربري فور هير - نسائي</v>
          </cell>
          <cell r="C357" t="str">
            <v>إخراج</v>
          </cell>
          <cell r="G357">
            <v>300</v>
          </cell>
          <cell r="H357">
            <v>4</v>
          </cell>
          <cell r="I357">
            <v>1</v>
          </cell>
        </row>
        <row r="358">
          <cell r="B358" t="str">
            <v>بربري فور هير - نسائي</v>
          </cell>
          <cell r="C358" t="str">
            <v>إخراج</v>
          </cell>
          <cell r="G358">
            <v>359</v>
          </cell>
          <cell r="H358">
            <v>4</v>
          </cell>
          <cell r="I358">
            <v>1</v>
          </cell>
        </row>
        <row r="359">
          <cell r="B359" t="str">
            <v>ماتري بريميير - للجنسين</v>
          </cell>
          <cell r="C359" t="str">
            <v>إخراج</v>
          </cell>
          <cell r="G359">
            <v>300</v>
          </cell>
          <cell r="H359">
            <v>6</v>
          </cell>
          <cell r="I359">
            <v>4</v>
          </cell>
        </row>
        <row r="360">
          <cell r="B360" t="str">
            <v>رالف رولين - روج - نسائي</v>
          </cell>
          <cell r="C360" t="str">
            <v>إخراج</v>
          </cell>
          <cell r="G360">
            <v>280</v>
          </cell>
          <cell r="H360">
            <v>5</v>
          </cell>
          <cell r="I360">
            <v>6</v>
          </cell>
        </row>
        <row r="361">
          <cell r="B361" t="str">
            <v>سوفاج كريستيان ديور - رجالي</v>
          </cell>
          <cell r="C361" t="str">
            <v>إخراج</v>
          </cell>
          <cell r="G361">
            <v>366</v>
          </cell>
          <cell r="H361">
            <v>3</v>
          </cell>
          <cell r="I361">
            <v>7</v>
          </cell>
        </row>
        <row r="362">
          <cell r="B362" t="str">
            <v>بولو بلو - رجالي</v>
          </cell>
          <cell r="C362" t="str">
            <v>إخراج</v>
          </cell>
          <cell r="G362">
            <v>737</v>
          </cell>
          <cell r="H362">
            <v>2</v>
          </cell>
          <cell r="I362">
            <v>2</v>
          </cell>
        </row>
        <row r="363">
          <cell r="B363" t="str">
            <v>لابومبا كارولينا هيريرا -  نسائي</v>
          </cell>
          <cell r="C363" t="str">
            <v>إدخال</v>
          </cell>
          <cell r="G363">
            <v>737</v>
          </cell>
          <cell r="H363">
            <v>4</v>
          </cell>
          <cell r="I363">
            <v>3</v>
          </cell>
        </row>
        <row r="364">
          <cell r="B364" t="str">
            <v>لابومبا كارولينا هيريرا -  نسائي</v>
          </cell>
          <cell r="C364" t="str">
            <v>إخراج</v>
          </cell>
          <cell r="G364">
            <v>217</v>
          </cell>
          <cell r="H364">
            <v>4</v>
          </cell>
          <cell r="I364">
            <v>3</v>
          </cell>
        </row>
        <row r="365">
          <cell r="B365" t="str">
            <v>ون مليون لاكي باكورابان - رجالي</v>
          </cell>
          <cell r="C365" t="str">
            <v>إخراج</v>
          </cell>
          <cell r="G365">
            <v>243</v>
          </cell>
          <cell r="H365">
            <v>1</v>
          </cell>
          <cell r="I365">
            <v>1</v>
          </cell>
        </row>
        <row r="366">
          <cell r="B366" t="str">
            <v>ماي سيلف Y.S.L - رجالي</v>
          </cell>
          <cell r="C366" t="str">
            <v>إخراج</v>
          </cell>
          <cell r="G366">
            <v>195</v>
          </cell>
          <cell r="H366">
            <v>3</v>
          </cell>
          <cell r="I366" t="str">
            <v>2ط2</v>
          </cell>
        </row>
        <row r="367">
          <cell r="B367" t="str">
            <v>كلمات العربية للعود - للجنسين</v>
          </cell>
          <cell r="C367" t="str">
            <v>إخراج</v>
          </cell>
          <cell r="G367">
            <v>200</v>
          </cell>
          <cell r="H367">
            <v>3</v>
          </cell>
          <cell r="I367">
            <v>6</v>
          </cell>
        </row>
        <row r="368">
          <cell r="B368" t="str">
            <v>لورد جورج بينك هاليسون - رجالي</v>
          </cell>
          <cell r="C368" t="str">
            <v>إخراج</v>
          </cell>
          <cell r="G368">
            <v>200</v>
          </cell>
          <cell r="H368">
            <v>2</v>
          </cell>
          <cell r="I368">
            <v>6</v>
          </cell>
        </row>
        <row r="369">
          <cell r="B369" t="str">
            <v>عود ابيض - رصاصي - للجنسين</v>
          </cell>
          <cell r="C369" t="str">
            <v>إخراج</v>
          </cell>
          <cell r="G369">
            <v>218</v>
          </cell>
          <cell r="H369">
            <v>4</v>
          </cell>
          <cell r="I369">
            <v>2</v>
          </cell>
        </row>
        <row r="370">
          <cell r="B370" t="str">
            <v>شانيل 5 - نسائي</v>
          </cell>
          <cell r="C370" t="str">
            <v>إخراج</v>
          </cell>
          <cell r="G370">
            <v>100</v>
          </cell>
          <cell r="H370">
            <v>4</v>
          </cell>
          <cell r="I370">
            <v>2</v>
          </cell>
        </row>
        <row r="371">
          <cell r="B371" t="str">
            <v>سترونغر وذ يو امبريو ارماني - رجالي</v>
          </cell>
          <cell r="C371" t="str">
            <v>إخراج</v>
          </cell>
          <cell r="G371">
            <v>100</v>
          </cell>
          <cell r="H371">
            <v>3</v>
          </cell>
          <cell r="I371">
            <v>5</v>
          </cell>
        </row>
        <row r="372">
          <cell r="B372" t="str">
            <v>بربري فور هير - نسائي</v>
          </cell>
          <cell r="C372" t="str">
            <v>إدخال</v>
          </cell>
          <cell r="G372">
            <v>5000</v>
          </cell>
          <cell r="H372">
            <v>4</v>
          </cell>
          <cell r="I372">
            <v>1</v>
          </cell>
        </row>
        <row r="373">
          <cell r="B373" t="str">
            <v xml:space="preserve">مسك طهارة إبراهيم القرشي - للجنسين </v>
          </cell>
          <cell r="C373" t="str">
            <v>إدخال</v>
          </cell>
          <cell r="G373">
            <v>5000</v>
          </cell>
          <cell r="H373" t="str">
            <v>مختوم ومسك</v>
          </cell>
          <cell r="I373" t="str">
            <v>-</v>
          </cell>
        </row>
        <row r="374">
          <cell r="B374" t="str">
            <v>عود السلطان ارض الزعفرران -  للجنسين</v>
          </cell>
          <cell r="C374" t="str">
            <v>إدخال</v>
          </cell>
          <cell r="G374">
            <v>2000</v>
          </cell>
          <cell r="H374" t="str">
            <v/>
          </cell>
          <cell r="I374" t="str">
            <v/>
          </cell>
        </row>
        <row r="375">
          <cell r="B375" t="str">
            <v>بربري فور هير - نسائي</v>
          </cell>
          <cell r="C375" t="str">
            <v>إخراج</v>
          </cell>
          <cell r="G375">
            <v>500</v>
          </cell>
          <cell r="H375">
            <v>4</v>
          </cell>
          <cell r="I375">
            <v>1</v>
          </cell>
        </row>
        <row r="376">
          <cell r="B376" t="str">
            <v xml:space="preserve">مسك طهارة إبراهيم القرشي - للجنسين </v>
          </cell>
          <cell r="C376" t="str">
            <v>إخراج</v>
          </cell>
          <cell r="G376">
            <v>414</v>
          </cell>
          <cell r="H376" t="str">
            <v>مختوم ومسك</v>
          </cell>
          <cell r="I376" t="str">
            <v>-</v>
          </cell>
        </row>
        <row r="377">
          <cell r="B377" t="str">
            <v>عود السلطان ارض الزعفرران -  للجنسين</v>
          </cell>
          <cell r="C377" t="str">
            <v>إخراج</v>
          </cell>
          <cell r="G377">
            <v>600</v>
          </cell>
          <cell r="H377" t="str">
            <v/>
          </cell>
          <cell r="I377" t="str">
            <v/>
          </cell>
        </row>
        <row r="378">
          <cell r="B378" t="str">
            <v>عود السلطان ارض الزعفرران -  للجنسين</v>
          </cell>
          <cell r="C378" t="str">
            <v>إخراج</v>
          </cell>
          <cell r="G378">
            <v>387</v>
          </cell>
          <cell r="H378" t="str">
            <v/>
          </cell>
          <cell r="I378" t="str">
            <v/>
          </cell>
        </row>
        <row r="379">
          <cell r="B379" t="str">
            <v>اربابورا  سوسبيرو - رجالي</v>
          </cell>
          <cell r="C379" t="str">
            <v>إدخال</v>
          </cell>
          <cell r="G379">
            <v>2000</v>
          </cell>
          <cell r="H379">
            <v>3</v>
          </cell>
          <cell r="I379">
            <v>2</v>
          </cell>
        </row>
        <row r="380">
          <cell r="B380" t="str">
            <v>ديزاير دينهيل - رجالي</v>
          </cell>
          <cell r="C380" t="str">
            <v>إدخال</v>
          </cell>
          <cell r="G380">
            <v>1000</v>
          </cell>
          <cell r="H380">
            <v>1</v>
          </cell>
          <cell r="I380">
            <v>5</v>
          </cell>
        </row>
        <row r="381">
          <cell r="B381" t="str">
            <v>بكرات روج mfk -للجنسين</v>
          </cell>
          <cell r="C381" t="str">
            <v>إدخال</v>
          </cell>
          <cell r="G381">
            <v>1000</v>
          </cell>
          <cell r="H381">
            <v>3</v>
          </cell>
          <cell r="I381">
            <v>3</v>
          </cell>
        </row>
        <row r="382">
          <cell r="B382" t="str">
            <v>سكاندل بايي نايت جامبول غوتيه -نسائي</v>
          </cell>
          <cell r="C382" t="str">
            <v>إدخال</v>
          </cell>
          <cell r="G382">
            <v>2000</v>
          </cell>
          <cell r="H382">
            <v>4</v>
          </cell>
          <cell r="I382">
            <v>4</v>
          </cell>
        </row>
        <row r="383">
          <cell r="B383" t="str">
            <v>لاكوست وايت - رجالي</v>
          </cell>
          <cell r="C383" t="str">
            <v>إدخال</v>
          </cell>
          <cell r="G383">
            <v>2000</v>
          </cell>
          <cell r="H383">
            <v>3</v>
          </cell>
          <cell r="I383">
            <v>4</v>
          </cell>
        </row>
        <row r="384">
          <cell r="B384" t="str">
            <v>بروت  -رجالي</v>
          </cell>
          <cell r="C384" t="str">
            <v>إدخال</v>
          </cell>
          <cell r="G384">
            <v>1000</v>
          </cell>
          <cell r="H384">
            <v>3</v>
          </cell>
          <cell r="I384">
            <v>2</v>
          </cell>
        </row>
        <row r="385">
          <cell r="B385" t="str">
            <v>عود الابياد - إبراهيم القرشيي - للجنسين</v>
          </cell>
          <cell r="C385" t="str">
            <v>إدخال</v>
          </cell>
          <cell r="G385">
            <v>1000</v>
          </cell>
          <cell r="H385">
            <v>2</v>
          </cell>
          <cell r="I385">
            <v>4</v>
          </cell>
        </row>
        <row r="386">
          <cell r="B386" t="str">
            <v>باكورابان بور هوم - رجالي</v>
          </cell>
          <cell r="C386" t="str">
            <v>إدخال</v>
          </cell>
          <cell r="G386">
            <v>1000</v>
          </cell>
          <cell r="H386" t="str">
            <v/>
          </cell>
          <cell r="I386" t="str">
            <v/>
          </cell>
        </row>
        <row r="387">
          <cell r="B387" t="str">
            <v>ليبر Y.S.L-نسائي</v>
          </cell>
          <cell r="C387" t="str">
            <v>إدخال</v>
          </cell>
          <cell r="G387">
            <v>1000</v>
          </cell>
          <cell r="H387">
            <v>5</v>
          </cell>
          <cell r="I387">
            <v>5</v>
          </cell>
        </row>
        <row r="388">
          <cell r="B388" t="str">
            <v>لاكشري اربيك الرحاب - للجنسين</v>
          </cell>
          <cell r="C388" t="str">
            <v>إدخال</v>
          </cell>
          <cell r="G388">
            <v>500</v>
          </cell>
          <cell r="H388" t="str">
            <v/>
          </cell>
          <cell r="I388" t="str">
            <v/>
          </cell>
        </row>
        <row r="389">
          <cell r="B389" t="str">
            <v xml:space="preserve">فوالا قصة - للجنسين </v>
          </cell>
          <cell r="C389" t="str">
            <v>إدخال</v>
          </cell>
          <cell r="G389">
            <v>1000</v>
          </cell>
          <cell r="H389">
            <v>6</v>
          </cell>
          <cell r="I389">
            <v>1</v>
          </cell>
        </row>
        <row r="390">
          <cell r="B390" t="str">
            <v>مارشميلو كيالي - نسائي</v>
          </cell>
          <cell r="C390" t="str">
            <v>إدخال</v>
          </cell>
          <cell r="G390">
            <v>1000</v>
          </cell>
          <cell r="H390">
            <v>5</v>
          </cell>
          <cell r="I390">
            <v>1</v>
          </cell>
        </row>
        <row r="391">
          <cell r="B391" t="str">
            <v>ماتري بريميير - للجنسين</v>
          </cell>
          <cell r="C391" t="str">
            <v>إدخال</v>
          </cell>
          <cell r="G391">
            <v>1000</v>
          </cell>
          <cell r="H391">
            <v>6</v>
          </cell>
          <cell r="I391">
            <v>4</v>
          </cell>
        </row>
        <row r="392">
          <cell r="B392" t="str">
            <v>اكسينتو اكس ارجوف - للجنسين</v>
          </cell>
          <cell r="C392" t="str">
            <v>إدخال</v>
          </cell>
          <cell r="G392">
            <v>1000</v>
          </cell>
          <cell r="H392">
            <v>2</v>
          </cell>
          <cell r="I392">
            <v>3</v>
          </cell>
        </row>
        <row r="393">
          <cell r="B393" t="str">
            <v>روبيرتو كافالي - نسائي</v>
          </cell>
          <cell r="C393" t="str">
            <v>إدخال</v>
          </cell>
          <cell r="G393">
            <v>1000</v>
          </cell>
          <cell r="H393" t="str">
            <v/>
          </cell>
          <cell r="I393" t="str">
            <v/>
          </cell>
        </row>
        <row r="394">
          <cell r="B394" t="str">
            <v>تايغر بولغاري - رجالي</v>
          </cell>
          <cell r="C394" t="str">
            <v>إدخال</v>
          </cell>
          <cell r="G394">
            <v>1000</v>
          </cell>
          <cell r="H394" t="str">
            <v/>
          </cell>
          <cell r="I394" t="str">
            <v/>
          </cell>
        </row>
        <row r="395">
          <cell r="B395" t="str">
            <v>كيالي فانيل  28 - نسائي</v>
          </cell>
          <cell r="C395" t="str">
            <v>إدخال</v>
          </cell>
          <cell r="G395">
            <v>1000</v>
          </cell>
          <cell r="H395">
            <v>6</v>
          </cell>
          <cell r="I395">
            <v>6</v>
          </cell>
        </row>
        <row r="396">
          <cell r="B396" t="str">
            <v>سنشوال جوهان بي - نسائي</v>
          </cell>
          <cell r="C396" t="str">
            <v>إدخال</v>
          </cell>
          <cell r="G396">
            <v>1000</v>
          </cell>
          <cell r="H396">
            <v>5</v>
          </cell>
          <cell r="I396">
            <v>3</v>
          </cell>
        </row>
        <row r="397">
          <cell r="B397" t="str">
            <v>سترونغر وذ يو انتنسلي امبريو ارماني - رجالي</v>
          </cell>
          <cell r="C397" t="str">
            <v>إدخال</v>
          </cell>
          <cell r="G397">
            <v>1000</v>
          </cell>
          <cell r="H397">
            <v>3</v>
          </cell>
          <cell r="I397">
            <v>4</v>
          </cell>
        </row>
        <row r="398">
          <cell r="B398" t="str">
            <v>انفكتوس باكورابان - رجالي</v>
          </cell>
          <cell r="C398" t="str">
            <v>إدخال</v>
          </cell>
          <cell r="G398">
            <v>1000</v>
          </cell>
          <cell r="H398">
            <v>3</v>
          </cell>
          <cell r="I398">
            <v>5</v>
          </cell>
        </row>
        <row r="399">
          <cell r="B399" t="str">
            <v>تايغر بولغاري - رجالي</v>
          </cell>
          <cell r="C399" t="str">
            <v>إخراج</v>
          </cell>
          <cell r="G399">
            <v>450</v>
          </cell>
          <cell r="H399" t="str">
            <v/>
          </cell>
          <cell r="I399" t="str">
            <v/>
          </cell>
        </row>
        <row r="400">
          <cell r="B400" t="str">
            <v>مارشميلو كيالي - نسائي</v>
          </cell>
          <cell r="C400" t="str">
            <v>إخراج</v>
          </cell>
          <cell r="G400">
            <v>529</v>
          </cell>
          <cell r="H400">
            <v>5</v>
          </cell>
          <cell r="I400">
            <v>1</v>
          </cell>
        </row>
        <row r="401">
          <cell r="B401" t="str">
            <v>ايكو دافيدوف -كراش فيكتوريا سيكرت - نسائي</v>
          </cell>
          <cell r="C401" t="str">
            <v>إخراج</v>
          </cell>
          <cell r="G401">
            <v>500</v>
          </cell>
          <cell r="H401">
            <v>5</v>
          </cell>
          <cell r="I401">
            <v>3</v>
          </cell>
        </row>
        <row r="402">
          <cell r="B402" t="str">
            <v>بربري فور هير - نسائي</v>
          </cell>
          <cell r="C402" t="str">
            <v>إخراج</v>
          </cell>
          <cell r="G402">
            <v>500</v>
          </cell>
          <cell r="H402">
            <v>4</v>
          </cell>
          <cell r="I402">
            <v>1</v>
          </cell>
        </row>
        <row r="403">
          <cell r="B403" t="str">
            <v>ماي واي جورجيو ارماني - نسائي</v>
          </cell>
          <cell r="C403" t="str">
            <v>إخراج</v>
          </cell>
          <cell r="G403">
            <v>485</v>
          </cell>
          <cell r="H403">
            <v>4</v>
          </cell>
          <cell r="I403">
            <v>1</v>
          </cell>
        </row>
        <row r="404">
          <cell r="B404" t="str">
            <v>غود غيرل كارولينا هيريرا - نسائي</v>
          </cell>
          <cell r="C404" t="str">
            <v>إخراج</v>
          </cell>
          <cell r="G404">
            <v>500</v>
          </cell>
          <cell r="H404">
            <v>5</v>
          </cell>
          <cell r="I404">
            <v>4</v>
          </cell>
        </row>
        <row r="405">
          <cell r="B405" t="str">
            <v>لاكوست وايت - رجالي</v>
          </cell>
          <cell r="C405" t="str">
            <v>إخراج</v>
          </cell>
          <cell r="G405">
            <v>484</v>
          </cell>
          <cell r="H405">
            <v>3</v>
          </cell>
          <cell r="I405">
            <v>4</v>
          </cell>
        </row>
        <row r="406">
          <cell r="B406" t="str">
            <v>شانيل 5 - نسائي</v>
          </cell>
          <cell r="C406" t="str">
            <v>إخراج</v>
          </cell>
          <cell r="G406">
            <v>500</v>
          </cell>
          <cell r="H406">
            <v>4</v>
          </cell>
          <cell r="I406">
            <v>2</v>
          </cell>
        </row>
        <row r="407">
          <cell r="B407" t="str">
            <v>ليبر Y.S.L-نسائي</v>
          </cell>
          <cell r="C407" t="str">
            <v>إخراج</v>
          </cell>
          <cell r="G407">
            <v>420</v>
          </cell>
          <cell r="H407">
            <v>5</v>
          </cell>
          <cell r="I407">
            <v>5</v>
          </cell>
        </row>
        <row r="408">
          <cell r="B408" t="str">
            <v>ديزاير دينهيل - رجالي</v>
          </cell>
          <cell r="C408" t="str">
            <v>إخراج</v>
          </cell>
          <cell r="G408">
            <v>200</v>
          </cell>
          <cell r="H408">
            <v>1</v>
          </cell>
          <cell r="I408">
            <v>5</v>
          </cell>
        </row>
        <row r="409">
          <cell r="B409" t="str">
            <v>باراديسو روبيرتو كافالي  - نسائي</v>
          </cell>
          <cell r="C409" t="str">
            <v>إخراج</v>
          </cell>
          <cell r="G409">
            <v>100</v>
          </cell>
          <cell r="H409">
            <v>5</v>
          </cell>
          <cell r="I409">
            <v>6</v>
          </cell>
        </row>
        <row r="410">
          <cell r="B410" t="str">
            <v>بلاك اكس اس باكورابان - رجالي</v>
          </cell>
          <cell r="C410" t="str">
            <v>إخراج</v>
          </cell>
          <cell r="G410">
            <v>200</v>
          </cell>
          <cell r="H410">
            <v>2</v>
          </cell>
          <cell r="I410">
            <v>2</v>
          </cell>
        </row>
        <row r="411">
          <cell r="B411" t="str">
            <v>فلانتينو في - دارج رصاصي - رجالي</v>
          </cell>
          <cell r="C411" t="str">
            <v>إخراج</v>
          </cell>
          <cell r="G411">
            <v>200</v>
          </cell>
          <cell r="H411">
            <v>2</v>
          </cell>
          <cell r="I411">
            <v>5</v>
          </cell>
        </row>
        <row r="412">
          <cell r="B412" t="str">
            <v>سترونغر وذ يو امبريو ارماني - رجالي</v>
          </cell>
          <cell r="C412" t="str">
            <v>إخراج</v>
          </cell>
          <cell r="G412">
            <v>300</v>
          </cell>
          <cell r="H412">
            <v>3</v>
          </cell>
          <cell r="I412">
            <v>5</v>
          </cell>
        </row>
        <row r="413">
          <cell r="B413" t="str">
            <v>اربابورا  سوسبيرو - رجالي</v>
          </cell>
          <cell r="C413" t="str">
            <v>إخراج</v>
          </cell>
          <cell r="G413">
            <v>200</v>
          </cell>
          <cell r="H413">
            <v>3</v>
          </cell>
          <cell r="I413">
            <v>2</v>
          </cell>
        </row>
        <row r="414">
          <cell r="B414" t="str">
            <v>لاكوست وايت - رجالي</v>
          </cell>
          <cell r="C414" t="str">
            <v>إخراج</v>
          </cell>
          <cell r="G414">
            <v>200</v>
          </cell>
          <cell r="H414">
            <v>3</v>
          </cell>
          <cell r="I414">
            <v>4</v>
          </cell>
        </row>
        <row r="415">
          <cell r="B415" t="str">
            <v>سكاندل بايي نايت جامبول غوتيه -نسائي</v>
          </cell>
          <cell r="C415" t="str">
            <v>إخراج</v>
          </cell>
          <cell r="G415">
            <v>200</v>
          </cell>
          <cell r="H415">
            <v>4</v>
          </cell>
          <cell r="I415">
            <v>4</v>
          </cell>
        </row>
        <row r="416">
          <cell r="B416" t="str">
            <v>ليبر Y.S.L-نسائي</v>
          </cell>
          <cell r="C416" t="str">
            <v>إخراج</v>
          </cell>
          <cell r="G416">
            <v>200</v>
          </cell>
          <cell r="H416">
            <v>5</v>
          </cell>
          <cell r="I416">
            <v>5</v>
          </cell>
        </row>
        <row r="417">
          <cell r="B417" t="str">
            <v>افينتوس كريد - رجالي</v>
          </cell>
          <cell r="C417" t="str">
            <v>إخراج</v>
          </cell>
          <cell r="G417">
            <v>0</v>
          </cell>
          <cell r="H417">
            <v>2</v>
          </cell>
          <cell r="I417" t="str">
            <v>1ط2</v>
          </cell>
        </row>
        <row r="418">
          <cell r="B418" t="str">
            <v xml:space="preserve">فوالا قصة - للجنسين </v>
          </cell>
          <cell r="C418" t="str">
            <v>إخراج</v>
          </cell>
          <cell r="G418">
            <v>200</v>
          </cell>
          <cell r="H418">
            <v>6</v>
          </cell>
          <cell r="I418">
            <v>1</v>
          </cell>
        </row>
        <row r="419">
          <cell r="B419" t="str">
            <v>مارشميلو كيالي - نسائي</v>
          </cell>
          <cell r="C419" t="str">
            <v>إخراج</v>
          </cell>
          <cell r="G419">
            <v>100</v>
          </cell>
          <cell r="H419">
            <v>5</v>
          </cell>
          <cell r="I419">
            <v>1</v>
          </cell>
        </row>
        <row r="420">
          <cell r="B420" t="str">
            <v>اكسينتو اكس ارجوف - للجنسين</v>
          </cell>
          <cell r="C420" t="str">
            <v>إخراج</v>
          </cell>
          <cell r="G420">
            <v>100</v>
          </cell>
          <cell r="H420">
            <v>2</v>
          </cell>
          <cell r="I420">
            <v>3</v>
          </cell>
        </row>
        <row r="421">
          <cell r="B421" t="str">
            <v>روبيرتو كافالي - نسائي</v>
          </cell>
          <cell r="C421" t="str">
            <v>إخراج</v>
          </cell>
          <cell r="G421">
            <v>100</v>
          </cell>
          <cell r="H421" t="str">
            <v/>
          </cell>
          <cell r="I421" t="str">
            <v/>
          </cell>
        </row>
        <row r="422">
          <cell r="B422" t="str">
            <v>كيالي فانيل  28 - نسائي</v>
          </cell>
          <cell r="C422" t="str">
            <v>إخراج</v>
          </cell>
          <cell r="G422">
            <v>200</v>
          </cell>
          <cell r="H422">
            <v>6</v>
          </cell>
          <cell r="I422">
            <v>6</v>
          </cell>
        </row>
        <row r="423">
          <cell r="B423" t="str">
            <v>سترونغر وذ يو انتنسلي امبريو ارماني - رجالي</v>
          </cell>
          <cell r="C423" t="str">
            <v>إخراج</v>
          </cell>
          <cell r="G423">
            <v>300</v>
          </cell>
          <cell r="H423">
            <v>3</v>
          </cell>
          <cell r="I423">
            <v>4</v>
          </cell>
        </row>
        <row r="424">
          <cell r="B424" t="str">
            <v>انفكتوس باكورابان - رجالي</v>
          </cell>
          <cell r="C424" t="str">
            <v>إخراج</v>
          </cell>
          <cell r="G424">
            <v>100</v>
          </cell>
          <cell r="H424">
            <v>3</v>
          </cell>
          <cell r="I424">
            <v>5</v>
          </cell>
        </row>
        <row r="425">
          <cell r="B425" t="str">
            <v>روبيرتو كافالي - نسائي</v>
          </cell>
          <cell r="C425" t="str">
            <v>إخراج</v>
          </cell>
          <cell r="G425">
            <v>45</v>
          </cell>
          <cell r="H425" t="str">
            <v/>
          </cell>
          <cell r="I425" t="str">
            <v/>
          </cell>
        </row>
        <row r="426">
          <cell r="B426" t="str">
            <v>ماتري بريميير - للجنسين</v>
          </cell>
          <cell r="C426" t="str">
            <v>إخراج</v>
          </cell>
          <cell r="G426">
            <v>150</v>
          </cell>
          <cell r="H426">
            <v>6</v>
          </cell>
          <cell r="I426">
            <v>4</v>
          </cell>
        </row>
        <row r="427">
          <cell r="B427" t="str">
            <v xml:space="preserve">مسك باودر إبراهيم القرشي - للجنسين </v>
          </cell>
          <cell r="C427" t="str">
            <v>إدخال</v>
          </cell>
          <cell r="G427">
            <v>1000</v>
          </cell>
          <cell r="H427" t="str">
            <v>مختوم ومسك</v>
          </cell>
          <cell r="I427" t="str">
            <v>-</v>
          </cell>
        </row>
        <row r="428">
          <cell r="B428" t="str">
            <v>واي Y.S.L - رجالي</v>
          </cell>
          <cell r="C428" t="str">
            <v>إدخال</v>
          </cell>
          <cell r="G428">
            <v>1000</v>
          </cell>
          <cell r="H428" t="str">
            <v/>
          </cell>
          <cell r="I428" t="str">
            <v/>
          </cell>
        </row>
        <row r="429">
          <cell r="B429" t="str">
            <v>موست وانتد ازارو - رجالي</v>
          </cell>
          <cell r="C429" t="str">
            <v>إدخال</v>
          </cell>
          <cell r="G429">
            <v>1000</v>
          </cell>
          <cell r="H429">
            <v>3</v>
          </cell>
          <cell r="I429">
            <v>3</v>
          </cell>
        </row>
        <row r="430">
          <cell r="B430" t="str">
            <v>سيمفوني من لويس فيتون - للجنسين</v>
          </cell>
          <cell r="C430" t="str">
            <v>إدخال</v>
          </cell>
          <cell r="G430">
            <v>1000</v>
          </cell>
          <cell r="H430" t="str">
            <v/>
          </cell>
          <cell r="I430" t="str">
            <v/>
          </cell>
        </row>
        <row r="431">
          <cell r="B431" t="str">
            <v xml:space="preserve">مسك باودر إبراهيم القرشي - للجنسين </v>
          </cell>
          <cell r="C431" t="str">
            <v>إخراج</v>
          </cell>
          <cell r="G431">
            <v>260</v>
          </cell>
          <cell r="H431" t="str">
            <v>مختوم ومسك</v>
          </cell>
          <cell r="I431" t="str">
            <v>-</v>
          </cell>
        </row>
        <row r="432">
          <cell r="B432" t="str">
            <v>موست وانتد ازارو - رجالي</v>
          </cell>
          <cell r="C432" t="str">
            <v>إخراج</v>
          </cell>
          <cell r="G432">
            <v>500</v>
          </cell>
          <cell r="H432">
            <v>3</v>
          </cell>
          <cell r="I432">
            <v>3</v>
          </cell>
        </row>
        <row r="433">
          <cell r="B433" t="str">
            <v>سيمفوني من لويس فيتون - للجنسين</v>
          </cell>
          <cell r="C433" t="str">
            <v>إخراج</v>
          </cell>
          <cell r="G433">
            <v>500</v>
          </cell>
          <cell r="H433" t="str">
            <v/>
          </cell>
          <cell r="I433" t="str">
            <v/>
          </cell>
        </row>
        <row r="434">
          <cell r="B434" t="str">
            <v>واي Y.S.L - رجالي</v>
          </cell>
          <cell r="C434" t="str">
            <v>إخراج</v>
          </cell>
          <cell r="G434">
            <v>250</v>
          </cell>
          <cell r="H434" t="str">
            <v/>
          </cell>
          <cell r="I434" t="str">
            <v/>
          </cell>
        </row>
        <row r="435">
          <cell r="B435" t="str">
            <v>موست وانتد ازارو - رجالي</v>
          </cell>
          <cell r="C435" t="str">
            <v>إخراج</v>
          </cell>
          <cell r="G435">
            <v>500</v>
          </cell>
          <cell r="H435">
            <v>3</v>
          </cell>
          <cell r="I435">
            <v>3</v>
          </cell>
        </row>
        <row r="436">
          <cell r="B436" t="str">
            <v>سيمفوني من لويس فيتون - للجنسين</v>
          </cell>
          <cell r="C436" t="str">
            <v>إخراج</v>
          </cell>
          <cell r="G436">
            <v>500</v>
          </cell>
          <cell r="H436" t="str">
            <v/>
          </cell>
          <cell r="I436" t="str">
            <v/>
          </cell>
        </row>
        <row r="437">
          <cell r="B437" t="str">
            <v xml:space="preserve">مسك باودر إبراهيم القرشي - للجنسين </v>
          </cell>
          <cell r="C437" t="str">
            <v>إخراج</v>
          </cell>
          <cell r="G437">
            <v>250</v>
          </cell>
          <cell r="H437" t="str">
            <v>مختوم ومسك</v>
          </cell>
          <cell r="I437" t="str">
            <v>-</v>
          </cell>
        </row>
        <row r="438">
          <cell r="B438" t="str">
            <v>سترونغر وذ يو امبريو ارماني - رجالي</v>
          </cell>
          <cell r="C438" t="str">
            <v>إخراج</v>
          </cell>
          <cell r="G438">
            <v>500</v>
          </cell>
          <cell r="H438">
            <v>3</v>
          </cell>
          <cell r="I438">
            <v>5</v>
          </cell>
        </row>
        <row r="439">
          <cell r="B439" t="str">
            <v>سوفاج كريستيان ديور - رجالي</v>
          </cell>
          <cell r="C439" t="str">
            <v>إخراج</v>
          </cell>
          <cell r="G439">
            <v>500</v>
          </cell>
          <cell r="H439">
            <v>3</v>
          </cell>
          <cell r="I439">
            <v>7</v>
          </cell>
        </row>
        <row r="440">
          <cell r="B440" t="str">
            <v>سترونغر وذ يو انتنسلي امبريو ارماني - رجالي</v>
          </cell>
          <cell r="C440" t="str">
            <v>إخراج</v>
          </cell>
          <cell r="G440">
            <v>305</v>
          </cell>
          <cell r="H440">
            <v>3</v>
          </cell>
          <cell r="I440">
            <v>4</v>
          </cell>
        </row>
        <row r="441">
          <cell r="B441" t="str">
            <v>فيرت ملاكيت - ارماني برايف - للجنسين</v>
          </cell>
          <cell r="C441" t="str">
            <v>إخراج</v>
          </cell>
          <cell r="G441">
            <v>0</v>
          </cell>
          <cell r="H441" t="str">
            <v/>
          </cell>
          <cell r="I441" t="str">
            <v/>
          </cell>
        </row>
        <row r="442">
          <cell r="B442" t="str">
            <v>بروت  -رجالي</v>
          </cell>
          <cell r="C442" t="str">
            <v>إخراج</v>
          </cell>
          <cell r="G442">
            <v>100</v>
          </cell>
          <cell r="H442">
            <v>3</v>
          </cell>
          <cell r="I442">
            <v>2</v>
          </cell>
        </row>
        <row r="443">
          <cell r="B443" t="str">
            <v>سيمفوني من لويس فيتون - للجنسين</v>
          </cell>
          <cell r="C443" t="str">
            <v>إخراج</v>
          </cell>
          <cell r="G443">
            <v>0</v>
          </cell>
          <cell r="H443" t="str">
            <v/>
          </cell>
          <cell r="I443" t="str">
            <v/>
          </cell>
        </row>
        <row r="444">
          <cell r="B444" t="str">
            <v xml:space="preserve">مسك باودر إبراهيم القرشي - للجنسين </v>
          </cell>
          <cell r="C444" t="str">
            <v>إخراج</v>
          </cell>
          <cell r="G444">
            <v>100</v>
          </cell>
          <cell r="H444" t="str">
            <v>مختوم ومسك</v>
          </cell>
          <cell r="I444" t="str">
            <v>-</v>
          </cell>
        </row>
        <row r="445">
          <cell r="B445" t="str">
            <v>ماجيك الجزيرة -  للجنسين</v>
          </cell>
          <cell r="C445" t="str">
            <v>إخراج</v>
          </cell>
          <cell r="G445">
            <v>477</v>
          </cell>
          <cell r="H445">
            <v>1</v>
          </cell>
          <cell r="I445">
            <v>4</v>
          </cell>
        </row>
        <row r="446">
          <cell r="B446" t="str">
            <v>اربابورا  سوسبيرو - رجالي</v>
          </cell>
          <cell r="C446" t="str">
            <v>إخراج</v>
          </cell>
          <cell r="G446">
            <v>350</v>
          </cell>
          <cell r="H446">
            <v>3</v>
          </cell>
          <cell r="I446">
            <v>2</v>
          </cell>
        </row>
        <row r="447">
          <cell r="B447" t="str">
            <v>موست وانتد ازارو - رجالي</v>
          </cell>
          <cell r="C447" t="str">
            <v>إخراج</v>
          </cell>
          <cell r="G447">
            <v>0</v>
          </cell>
          <cell r="H447">
            <v>3</v>
          </cell>
          <cell r="I447">
            <v>3</v>
          </cell>
        </row>
        <row r="448">
          <cell r="B448" t="str">
            <v>سترونغر وذ يو امبريو ارماني - رجالي</v>
          </cell>
          <cell r="C448" t="str">
            <v>إخراج</v>
          </cell>
          <cell r="G448">
            <v>500</v>
          </cell>
          <cell r="H448">
            <v>3</v>
          </cell>
          <cell r="I448">
            <v>5</v>
          </cell>
        </row>
        <row r="449">
          <cell r="B449" t="str">
            <v>مونت بلانك ليجينت - رجاليي</v>
          </cell>
          <cell r="C449" t="str">
            <v>إخراج</v>
          </cell>
          <cell r="G449">
            <v>320</v>
          </cell>
          <cell r="H449">
            <v>3</v>
          </cell>
          <cell r="I449">
            <v>1</v>
          </cell>
        </row>
        <row r="450">
          <cell r="B450" t="str">
            <v>بومب شيل فيكتوريا سيكرت - نسائي</v>
          </cell>
          <cell r="C450" t="str">
            <v>إخراج</v>
          </cell>
          <cell r="G450">
            <v>100</v>
          </cell>
          <cell r="H450">
            <v>4</v>
          </cell>
          <cell r="I450">
            <v>1</v>
          </cell>
        </row>
        <row r="451">
          <cell r="B451" t="str">
            <v>فهرنهايت كريستيان ديور - رجالي</v>
          </cell>
          <cell r="C451" t="str">
            <v>إخراج</v>
          </cell>
          <cell r="G451">
            <v>100</v>
          </cell>
          <cell r="H451">
            <v>3</v>
          </cell>
          <cell r="I451">
            <v>4</v>
          </cell>
        </row>
        <row r="452">
          <cell r="B452" t="str">
            <v>واي Y.S.L - رجالي</v>
          </cell>
          <cell r="C452" t="str">
            <v>إخراج</v>
          </cell>
          <cell r="G452">
            <v>200</v>
          </cell>
          <cell r="H452" t="str">
            <v/>
          </cell>
          <cell r="I452" t="str">
            <v/>
          </cell>
        </row>
        <row r="453">
          <cell r="B453" t="str">
            <v>رالف رولين - روج - نسائي</v>
          </cell>
          <cell r="C453" t="str">
            <v>إخراج</v>
          </cell>
          <cell r="G453">
            <v>200</v>
          </cell>
          <cell r="H453">
            <v>5</v>
          </cell>
          <cell r="I453">
            <v>6</v>
          </cell>
        </row>
        <row r="454">
          <cell r="B454" t="str">
            <v>سوفاج كريستيان ديور - رجالي</v>
          </cell>
          <cell r="C454" t="str">
            <v>إخراج</v>
          </cell>
          <cell r="G454">
            <v>100</v>
          </cell>
          <cell r="H454">
            <v>3</v>
          </cell>
          <cell r="I454">
            <v>7</v>
          </cell>
        </row>
        <row r="455">
          <cell r="B455" t="str">
            <v>سنشوال جوهان بي - نسائي</v>
          </cell>
          <cell r="C455" t="str">
            <v>إخراج</v>
          </cell>
          <cell r="G455">
            <v>260</v>
          </cell>
          <cell r="H455">
            <v>5</v>
          </cell>
          <cell r="I455">
            <v>3</v>
          </cell>
        </row>
        <row r="456">
          <cell r="B456" t="str">
            <v>جادور كريستيان ديور - نسائي</v>
          </cell>
          <cell r="C456" t="str">
            <v>إخراج</v>
          </cell>
          <cell r="G456">
            <v>100</v>
          </cell>
          <cell r="H456">
            <v>5</v>
          </cell>
          <cell r="I456">
            <v>5</v>
          </cell>
        </row>
        <row r="457">
          <cell r="B457" t="str">
            <v>موست وانتد ازارو - رجالي</v>
          </cell>
          <cell r="C457" t="str">
            <v>إدخال</v>
          </cell>
          <cell r="G457">
            <v>5000</v>
          </cell>
          <cell r="H457">
            <v>3</v>
          </cell>
          <cell r="I457">
            <v>3</v>
          </cell>
        </row>
        <row r="458">
          <cell r="B458" t="str">
            <v>لوف اذ هفنلي فيكتوريا سكرت - نسائي</v>
          </cell>
          <cell r="C458" t="str">
            <v>إدخال</v>
          </cell>
          <cell r="G458">
            <v>3000</v>
          </cell>
          <cell r="H458">
            <v>5</v>
          </cell>
          <cell r="I458">
            <v>3</v>
          </cell>
        </row>
        <row r="459">
          <cell r="B459" t="str">
            <v>لوف اذ هفنلي فيكتوريا سكرت - نسائي</v>
          </cell>
          <cell r="C459" t="str">
            <v>إخراج</v>
          </cell>
          <cell r="G459">
            <v>500</v>
          </cell>
          <cell r="H459">
            <v>5</v>
          </cell>
          <cell r="I459">
            <v>3</v>
          </cell>
        </row>
        <row r="460">
          <cell r="B460" t="str">
            <v>شمام - للجنسين</v>
          </cell>
          <cell r="C460" t="str">
            <v>إدخال</v>
          </cell>
          <cell r="G460">
            <v>2000</v>
          </cell>
          <cell r="H460" t="str">
            <v/>
          </cell>
          <cell r="I460" t="str">
            <v/>
          </cell>
        </row>
        <row r="461">
          <cell r="B461" t="str">
            <v>دراق - رجالي</v>
          </cell>
          <cell r="C461" t="str">
            <v>إدخال</v>
          </cell>
          <cell r="G461">
            <v>2000</v>
          </cell>
          <cell r="H461" t="str">
            <v/>
          </cell>
          <cell r="I461" t="str">
            <v/>
          </cell>
        </row>
        <row r="462">
          <cell r="B462" t="str">
            <v>تفاح - للجنسين</v>
          </cell>
          <cell r="C462" t="str">
            <v>إدخال</v>
          </cell>
          <cell r="G462">
            <v>2000</v>
          </cell>
          <cell r="H462" t="str">
            <v>مختوم ومسك</v>
          </cell>
          <cell r="I462" t="str">
            <v>-</v>
          </cell>
        </row>
        <row r="463">
          <cell r="B463" t="str">
            <v>فريز - للجنسين</v>
          </cell>
          <cell r="C463" t="str">
            <v>إدخال</v>
          </cell>
          <cell r="G463">
            <v>2000</v>
          </cell>
          <cell r="H463" t="str">
            <v/>
          </cell>
          <cell r="I463" t="str">
            <v/>
          </cell>
        </row>
        <row r="464">
          <cell r="B464" t="str">
            <v>سترونغر وذ يو انتنسلي امبريو ارماني - رجالي</v>
          </cell>
          <cell r="C464" t="str">
            <v>إخراج</v>
          </cell>
          <cell r="G464">
            <v>300</v>
          </cell>
          <cell r="H464">
            <v>3</v>
          </cell>
          <cell r="I464">
            <v>4</v>
          </cell>
        </row>
        <row r="465">
          <cell r="B465" t="str">
            <v>مان212 كارولينا هيريرا - رجالي</v>
          </cell>
          <cell r="C465" t="str">
            <v>إدخال</v>
          </cell>
          <cell r="G465">
            <v>2000</v>
          </cell>
          <cell r="H465" t="str">
            <v/>
          </cell>
          <cell r="I465" t="str">
            <v/>
          </cell>
        </row>
        <row r="466">
          <cell r="B466" t="str">
            <v>مان212 كارولينا هيريرا - رجالي</v>
          </cell>
          <cell r="C466" t="str">
            <v>إخراج</v>
          </cell>
          <cell r="G466">
            <v>200</v>
          </cell>
          <cell r="H466" t="str">
            <v/>
          </cell>
          <cell r="I466" t="str">
            <v/>
          </cell>
        </row>
        <row r="467">
          <cell r="B467" t="str">
            <v>مان212 كارولينا هيريرا - رجالي</v>
          </cell>
          <cell r="C467" t="str">
            <v>إخراج</v>
          </cell>
          <cell r="G467">
            <v>300</v>
          </cell>
          <cell r="H467" t="str">
            <v/>
          </cell>
          <cell r="I467" t="str">
            <v/>
          </cell>
        </row>
        <row r="468">
          <cell r="B468" t="str">
            <v>تفاح - للجنسين</v>
          </cell>
          <cell r="C468" t="str">
            <v>إخراج</v>
          </cell>
          <cell r="G468">
            <v>500</v>
          </cell>
          <cell r="H468" t="str">
            <v>مختوم ومسك</v>
          </cell>
          <cell r="I468" t="str">
            <v>-</v>
          </cell>
        </row>
        <row r="469">
          <cell r="B469" t="str">
            <v>دراق - رجالي</v>
          </cell>
          <cell r="C469" t="str">
            <v>إخراج</v>
          </cell>
          <cell r="G469">
            <v>500</v>
          </cell>
          <cell r="H469" t="str">
            <v/>
          </cell>
          <cell r="I469" t="str">
            <v/>
          </cell>
        </row>
        <row r="470">
          <cell r="B470" t="str">
            <v>فريز - للجنسين</v>
          </cell>
          <cell r="C470" t="str">
            <v>إخراج</v>
          </cell>
          <cell r="G470">
            <v>500</v>
          </cell>
          <cell r="H470" t="str">
            <v/>
          </cell>
          <cell r="I470" t="str">
            <v/>
          </cell>
        </row>
        <row r="471">
          <cell r="B471" t="str">
            <v>شمام - للجنسين</v>
          </cell>
          <cell r="C471" t="str">
            <v>إخراج</v>
          </cell>
          <cell r="G471">
            <v>500</v>
          </cell>
          <cell r="H471" t="str">
            <v/>
          </cell>
          <cell r="I471" t="str">
            <v/>
          </cell>
        </row>
        <row r="472">
          <cell r="B472" t="str">
            <v>موست وانتد ازارو - رجالي</v>
          </cell>
          <cell r="C472" t="str">
            <v>إخراج</v>
          </cell>
          <cell r="G472">
            <v>500</v>
          </cell>
          <cell r="H472">
            <v>3</v>
          </cell>
          <cell r="I472">
            <v>3</v>
          </cell>
        </row>
        <row r="473">
          <cell r="B473" t="str">
            <v>موست وانتد ازارو - رجالي</v>
          </cell>
          <cell r="C473" t="str">
            <v>إخراج</v>
          </cell>
          <cell r="G473">
            <v>666</v>
          </cell>
          <cell r="H473">
            <v>3</v>
          </cell>
          <cell r="I473">
            <v>3</v>
          </cell>
        </row>
        <row r="474">
          <cell r="B474" t="str">
            <v>ستيلر تايم - ايمرالد - للجنسين</v>
          </cell>
          <cell r="C474" t="str">
            <v>إخراج</v>
          </cell>
          <cell r="G474">
            <v>120</v>
          </cell>
          <cell r="H474">
            <v>3</v>
          </cell>
          <cell r="I474">
            <v>7</v>
          </cell>
        </row>
        <row r="475">
          <cell r="B475" t="str">
            <v>بومب شيل فيكتوريا سيكرت - نسائي</v>
          </cell>
          <cell r="C475" t="str">
            <v>إخراج</v>
          </cell>
          <cell r="G475">
            <v>500</v>
          </cell>
          <cell r="H475">
            <v>4</v>
          </cell>
          <cell r="I475">
            <v>1</v>
          </cell>
        </row>
        <row r="476">
          <cell r="B476" t="str">
            <v>سوفاج كريستيان ديور - رجالي</v>
          </cell>
          <cell r="C476" t="str">
            <v>إخراج</v>
          </cell>
          <cell r="G476">
            <v>385</v>
          </cell>
          <cell r="H476">
            <v>3</v>
          </cell>
          <cell r="I476">
            <v>7</v>
          </cell>
        </row>
        <row r="477">
          <cell r="B477" t="str">
            <v>جادور كريستيان ديور - نسائي</v>
          </cell>
          <cell r="C477" t="str">
            <v>إخراج</v>
          </cell>
          <cell r="G477">
            <v>125</v>
          </cell>
          <cell r="H477">
            <v>5</v>
          </cell>
          <cell r="I477">
            <v>5</v>
          </cell>
        </row>
        <row r="478">
          <cell r="G478" t="str">
            <v/>
          </cell>
          <cell r="H478" t="str">
            <v/>
          </cell>
          <cell r="I478" t="str">
            <v/>
          </cell>
        </row>
        <row r="479">
          <cell r="G479" t="str">
            <v/>
          </cell>
          <cell r="H479" t="str">
            <v/>
          </cell>
          <cell r="I479" t="str">
            <v/>
          </cell>
        </row>
        <row r="480">
          <cell r="B480" t="str">
            <v>بلاك اكس اس ليكزس باكورابان - رجالي</v>
          </cell>
          <cell r="C480" t="str">
            <v>إخراج</v>
          </cell>
          <cell r="G480">
            <v>0</v>
          </cell>
          <cell r="H480" t="str">
            <v/>
          </cell>
          <cell r="I480" t="str">
            <v/>
          </cell>
        </row>
        <row r="481">
          <cell r="B481" t="str">
            <v>سيلفر سينت بوجارد - رجالي</v>
          </cell>
          <cell r="C481" t="str">
            <v>إخراج</v>
          </cell>
          <cell r="G481">
            <v>0</v>
          </cell>
          <cell r="H481" t="str">
            <v/>
          </cell>
          <cell r="I481" t="str">
            <v/>
          </cell>
        </row>
        <row r="482">
          <cell r="B482" t="str">
            <v>مغنتزم سكادة - نسائي</v>
          </cell>
          <cell r="C482" t="str">
            <v>إخراج</v>
          </cell>
          <cell r="G482">
            <v>0</v>
          </cell>
          <cell r="H482" t="str">
            <v/>
          </cell>
          <cell r="I482" t="str">
            <v/>
          </cell>
        </row>
        <row r="483">
          <cell r="B483" t="str">
            <v>لابيل جامبول غوتيه -  نسائي</v>
          </cell>
          <cell r="C483" t="str">
            <v>إخراج</v>
          </cell>
          <cell r="G483">
            <v>0</v>
          </cell>
          <cell r="H483" t="str">
            <v/>
          </cell>
          <cell r="I483" t="str">
            <v/>
          </cell>
        </row>
        <row r="484">
          <cell r="B484" t="str">
            <v>باريس هيلتون - نسائي</v>
          </cell>
          <cell r="C484" t="str">
            <v>إخراج</v>
          </cell>
          <cell r="G484">
            <v>0</v>
          </cell>
          <cell r="H484" t="str">
            <v/>
          </cell>
          <cell r="I484" t="str">
            <v/>
          </cell>
        </row>
        <row r="485">
          <cell r="B485" t="str">
            <v>بينك شوغر - انا والشوق - نسائي</v>
          </cell>
          <cell r="C485" t="str">
            <v>إخراج</v>
          </cell>
          <cell r="G485">
            <v>0</v>
          </cell>
          <cell r="H485" t="str">
            <v/>
          </cell>
          <cell r="I485" t="str">
            <v/>
          </cell>
        </row>
        <row r="486">
          <cell r="B486" t="str">
            <v>سيكسي كرافيتي سكادة - نسائي</v>
          </cell>
          <cell r="C486" t="str">
            <v>إخراج</v>
          </cell>
          <cell r="G486">
            <v>0</v>
          </cell>
          <cell r="H486" t="str">
            <v/>
          </cell>
          <cell r="I486" t="str">
            <v/>
          </cell>
        </row>
        <row r="487">
          <cell r="B487" t="str">
            <v>بي ديليشيز ديكني - نسائي</v>
          </cell>
          <cell r="C487" t="str">
            <v>إخراج</v>
          </cell>
          <cell r="G487">
            <v>0</v>
          </cell>
          <cell r="H487" t="str">
            <v/>
          </cell>
          <cell r="I487" t="str">
            <v/>
          </cell>
        </row>
        <row r="488">
          <cell r="B488" t="str">
            <v>تيروني اورتو باريس - للجنسين</v>
          </cell>
          <cell r="C488" t="str">
            <v>إخراج</v>
          </cell>
          <cell r="G488">
            <v>0</v>
          </cell>
          <cell r="H488" t="str">
            <v/>
          </cell>
          <cell r="I488" t="str">
            <v/>
          </cell>
        </row>
        <row r="489">
          <cell r="B489" t="str">
            <v>افينتوس كريد - رجالي</v>
          </cell>
          <cell r="C489" t="str">
            <v>إخراج</v>
          </cell>
          <cell r="G489">
            <v>0</v>
          </cell>
          <cell r="H489">
            <v>2</v>
          </cell>
          <cell r="I489" t="str">
            <v>1ط2</v>
          </cell>
        </row>
        <row r="490">
          <cell r="B490" t="str">
            <v>ايروس فرزاتشي - رجالي</v>
          </cell>
          <cell r="C490" t="str">
            <v>إخراج</v>
          </cell>
          <cell r="G490">
            <v>0</v>
          </cell>
          <cell r="H490" t="str">
            <v/>
          </cell>
          <cell r="I490" t="str">
            <v/>
          </cell>
        </row>
        <row r="491">
          <cell r="B491" t="str">
            <v>فريش دينهل - رجالي</v>
          </cell>
          <cell r="C491" t="str">
            <v>إخراج</v>
          </cell>
          <cell r="G491">
            <v>0</v>
          </cell>
          <cell r="H491" t="str">
            <v/>
          </cell>
          <cell r="I491" t="str">
            <v/>
          </cell>
        </row>
        <row r="492">
          <cell r="B492" t="str">
            <v>في أي بي بلاك 212كارولينا هيريرا - رجالي</v>
          </cell>
          <cell r="C492" t="str">
            <v>إخراج</v>
          </cell>
          <cell r="G492">
            <v>0</v>
          </cell>
          <cell r="H492" t="str">
            <v/>
          </cell>
          <cell r="I492" t="str">
            <v/>
          </cell>
        </row>
        <row r="493">
          <cell r="B493" t="str">
            <v>بلو دي شانيل -رجالي</v>
          </cell>
          <cell r="C493" t="str">
            <v>إخراج</v>
          </cell>
          <cell r="G493">
            <v>0</v>
          </cell>
          <cell r="H493" t="str">
            <v/>
          </cell>
          <cell r="I493" t="str">
            <v/>
          </cell>
        </row>
        <row r="494">
          <cell r="B494" t="str">
            <v>برادا بارادوكس - نسائي</v>
          </cell>
          <cell r="C494" t="str">
            <v>إخراج</v>
          </cell>
          <cell r="G494">
            <v>0</v>
          </cell>
          <cell r="H494" t="str">
            <v/>
          </cell>
          <cell r="I494" t="str">
            <v/>
          </cell>
        </row>
        <row r="495">
          <cell r="B495" t="str">
            <v>سبيشلي سكادة - نسائي</v>
          </cell>
          <cell r="C495" t="str">
            <v>إخراج</v>
          </cell>
          <cell r="G495">
            <v>0</v>
          </cell>
          <cell r="H495" t="str">
            <v/>
          </cell>
          <cell r="I495" t="str">
            <v/>
          </cell>
        </row>
        <row r="496">
          <cell r="G496" t="str">
            <v/>
          </cell>
          <cell r="H496" t="str">
            <v/>
          </cell>
          <cell r="I496" t="str">
            <v/>
          </cell>
        </row>
        <row r="497">
          <cell r="B497" t="str">
            <v>رالف رولين - روج - نسائي</v>
          </cell>
          <cell r="C497" t="str">
            <v>إخراج</v>
          </cell>
          <cell r="G497">
            <v>116</v>
          </cell>
          <cell r="H497">
            <v>5</v>
          </cell>
          <cell r="I497">
            <v>6</v>
          </cell>
        </row>
        <row r="498">
          <cell r="B498" t="str">
            <v>خمرة قهوة لطافة -للجنسين</v>
          </cell>
          <cell r="C498" t="str">
            <v>إخراج</v>
          </cell>
          <cell r="G498">
            <v>0</v>
          </cell>
          <cell r="H498">
            <v>6</v>
          </cell>
          <cell r="I498">
            <v>5</v>
          </cell>
        </row>
        <row r="499">
          <cell r="B499" t="str">
            <v>خمرة لطافة - للجنسين</v>
          </cell>
          <cell r="C499" t="str">
            <v>إخراج</v>
          </cell>
          <cell r="G499">
            <v>0</v>
          </cell>
          <cell r="H499">
            <v>2</v>
          </cell>
          <cell r="I499">
            <v>4</v>
          </cell>
        </row>
        <row r="500">
          <cell r="B500" t="str">
            <v>بلوم غوتشي - نسائي</v>
          </cell>
          <cell r="C500" t="str">
            <v>إخراج</v>
          </cell>
          <cell r="G500">
            <v>0</v>
          </cell>
          <cell r="H500" t="str">
            <v/>
          </cell>
          <cell r="I500" t="str">
            <v/>
          </cell>
        </row>
        <row r="501">
          <cell r="B501" t="str">
            <v>امريج جيفينشي - نسائي</v>
          </cell>
          <cell r="C501" t="str">
            <v>إخراج</v>
          </cell>
          <cell r="G501">
            <v>0</v>
          </cell>
          <cell r="H501" t="str">
            <v/>
          </cell>
          <cell r="I501" t="str">
            <v/>
          </cell>
        </row>
        <row r="502">
          <cell r="C502" t="str">
            <v>إخراج</v>
          </cell>
          <cell r="G502" t="str">
            <v/>
          </cell>
          <cell r="H502" t="str">
            <v/>
          </cell>
          <cell r="I502" t="str">
            <v/>
          </cell>
        </row>
        <row r="503">
          <cell r="B503" t="str">
            <v>شانص اوتندر شانيل - نسائي</v>
          </cell>
          <cell r="C503" t="str">
            <v>إخراج</v>
          </cell>
          <cell r="G503">
            <v>250</v>
          </cell>
          <cell r="H503">
            <v>5</v>
          </cell>
          <cell r="I503">
            <v>4</v>
          </cell>
        </row>
        <row r="504">
          <cell r="B504" t="str">
            <v>مونت بلانك ليجينت - رجاليي</v>
          </cell>
          <cell r="C504" t="str">
            <v>إخراج</v>
          </cell>
          <cell r="G504">
            <v>200</v>
          </cell>
          <cell r="H504">
            <v>3</v>
          </cell>
          <cell r="I504">
            <v>1</v>
          </cell>
        </row>
        <row r="505">
          <cell r="B505" t="str">
            <v>لاكوست وايت - رجالي</v>
          </cell>
          <cell r="C505" t="str">
            <v>إخراج</v>
          </cell>
          <cell r="G505">
            <v>300</v>
          </cell>
          <cell r="H505">
            <v>3</v>
          </cell>
          <cell r="I505">
            <v>4</v>
          </cell>
        </row>
        <row r="506">
          <cell r="B506" t="str">
            <v>سيلفر مونتن - كريد ابيض - الوسام - رجالي</v>
          </cell>
          <cell r="C506" t="str">
            <v>إخراج</v>
          </cell>
          <cell r="G506">
            <v>200</v>
          </cell>
          <cell r="H506">
            <v>3</v>
          </cell>
          <cell r="I506">
            <v>4</v>
          </cell>
        </row>
        <row r="507">
          <cell r="G507" t="str">
            <v/>
          </cell>
          <cell r="H507" t="str">
            <v/>
          </cell>
          <cell r="I507" t="str">
            <v/>
          </cell>
        </row>
        <row r="508">
          <cell r="B508" t="str">
            <v>مانجا - للجنسين</v>
          </cell>
          <cell r="C508" t="str">
            <v>إدخال</v>
          </cell>
          <cell r="G508">
            <v>1000</v>
          </cell>
          <cell r="H508" t="str">
            <v/>
          </cell>
          <cell r="I508" t="str">
            <v/>
          </cell>
        </row>
        <row r="509">
          <cell r="B509" t="str">
            <v>نسيم البحر - للجنسين</v>
          </cell>
          <cell r="C509" t="str">
            <v>إدخال</v>
          </cell>
          <cell r="G509">
            <v>1000</v>
          </cell>
          <cell r="H509" t="str">
            <v/>
          </cell>
          <cell r="I509" t="str">
            <v/>
          </cell>
        </row>
        <row r="510">
          <cell r="B510" t="str">
            <v>ورد دمشقي - للجنسين</v>
          </cell>
          <cell r="C510" t="str">
            <v>إدخال</v>
          </cell>
          <cell r="G510">
            <v>1000</v>
          </cell>
          <cell r="H510" t="str">
            <v/>
          </cell>
          <cell r="I510" t="str">
            <v/>
          </cell>
        </row>
        <row r="511">
          <cell r="G511" t="str">
            <v/>
          </cell>
          <cell r="H511" t="str">
            <v/>
          </cell>
          <cell r="I511" t="str">
            <v/>
          </cell>
        </row>
        <row r="512">
          <cell r="B512" t="str">
            <v xml:space="preserve">ورد جوري - للجنسين </v>
          </cell>
          <cell r="C512" t="str">
            <v>إدخال</v>
          </cell>
          <cell r="G512">
            <v>1878</v>
          </cell>
          <cell r="H512" t="str">
            <v/>
          </cell>
          <cell r="I512" t="str">
            <v/>
          </cell>
        </row>
        <row r="513">
          <cell r="G513" t="str">
            <v/>
          </cell>
          <cell r="H513" t="str">
            <v/>
          </cell>
          <cell r="I513" t="str">
            <v/>
          </cell>
        </row>
        <row r="514">
          <cell r="B514" t="str">
            <v>سكاندل بايي نايت جامبول غوتيه -نسائي</v>
          </cell>
          <cell r="C514" t="str">
            <v>إخراج</v>
          </cell>
          <cell r="G514">
            <v>111</v>
          </cell>
          <cell r="H514">
            <v>4</v>
          </cell>
          <cell r="I514">
            <v>4</v>
          </cell>
        </row>
        <row r="515">
          <cell r="B515" t="str">
            <v>بومب شيل فيكتوريا سيكرت - نسائي</v>
          </cell>
          <cell r="C515" t="str">
            <v>إخراج</v>
          </cell>
          <cell r="G515">
            <v>510</v>
          </cell>
          <cell r="H515">
            <v>4</v>
          </cell>
          <cell r="I515">
            <v>1</v>
          </cell>
        </row>
        <row r="516">
          <cell r="B516" t="str">
            <v>ايماجينيشن L.V - رجالي</v>
          </cell>
          <cell r="C516" t="str">
            <v>إخراج</v>
          </cell>
          <cell r="G516">
            <v>64</v>
          </cell>
          <cell r="H516">
            <v>3</v>
          </cell>
          <cell r="I516">
            <v>7</v>
          </cell>
        </row>
        <row r="517">
          <cell r="B517" t="str">
            <v>سترونغر وذ يو انتنسلي امبريو ارماني - رجالي</v>
          </cell>
          <cell r="C517" t="str">
            <v>إخراج</v>
          </cell>
          <cell r="G517">
            <v>395</v>
          </cell>
          <cell r="H517">
            <v>3</v>
          </cell>
          <cell r="I517">
            <v>4</v>
          </cell>
        </row>
        <row r="518">
          <cell r="B518" t="str">
            <v>شانص اوتندر شانيل - نسائي</v>
          </cell>
          <cell r="C518" t="str">
            <v>إخراج</v>
          </cell>
          <cell r="G518">
            <v>360</v>
          </cell>
          <cell r="H518">
            <v>5</v>
          </cell>
          <cell r="I518">
            <v>4</v>
          </cell>
        </row>
        <row r="519">
          <cell r="G519" t="str">
            <v/>
          </cell>
          <cell r="H519" t="str">
            <v/>
          </cell>
          <cell r="I519" t="str">
            <v/>
          </cell>
        </row>
        <row r="520">
          <cell r="B520" t="str">
            <v>ناكسوس اكس ارجوف - للجنسين</v>
          </cell>
          <cell r="C520" t="str">
            <v>إخراج</v>
          </cell>
          <cell r="G520">
            <v>316</v>
          </cell>
          <cell r="H520">
            <v>2</v>
          </cell>
          <cell r="I520">
            <v>1</v>
          </cell>
        </row>
        <row r="521">
          <cell r="B521" t="str">
            <v>لاكوست وايت - رجالي</v>
          </cell>
          <cell r="C521" t="str">
            <v>إخراج</v>
          </cell>
          <cell r="G521">
            <v>670</v>
          </cell>
          <cell r="H521">
            <v>3</v>
          </cell>
          <cell r="I521">
            <v>4</v>
          </cell>
        </row>
        <row r="522">
          <cell r="B522" t="str">
            <v>سترونغر وذ يو امبريو ارماني - رجالي</v>
          </cell>
          <cell r="C522" t="str">
            <v>إخراج</v>
          </cell>
          <cell r="G522">
            <v>316</v>
          </cell>
          <cell r="H522">
            <v>3</v>
          </cell>
          <cell r="I522">
            <v>5</v>
          </cell>
        </row>
        <row r="523">
          <cell r="B523" t="str">
            <v>الثائر بارفان دي مارلي - رجالي</v>
          </cell>
          <cell r="C523" t="str">
            <v>إخراج</v>
          </cell>
          <cell r="G523">
            <v>340</v>
          </cell>
          <cell r="H523">
            <v>1</v>
          </cell>
          <cell r="I523">
            <v>3</v>
          </cell>
        </row>
        <row r="524">
          <cell r="B524" t="str">
            <v>موست وانتد ازارو - رجالي</v>
          </cell>
          <cell r="C524" t="str">
            <v>إخراج</v>
          </cell>
          <cell r="G524">
            <v>550</v>
          </cell>
          <cell r="H524">
            <v>3</v>
          </cell>
          <cell r="I524">
            <v>3</v>
          </cell>
        </row>
        <row r="525">
          <cell r="B525" t="str">
            <v>لوف اذ هفنلي فيكتوريا سكرت - نسائي</v>
          </cell>
          <cell r="C525" t="str">
            <v>إخراج</v>
          </cell>
          <cell r="G525">
            <v>500</v>
          </cell>
          <cell r="H525">
            <v>5</v>
          </cell>
          <cell r="I525">
            <v>3</v>
          </cell>
        </row>
        <row r="526">
          <cell r="B526" t="str">
            <v>بربري فور هير - نسائي</v>
          </cell>
          <cell r="C526" t="str">
            <v>إخراج</v>
          </cell>
          <cell r="G526">
            <v>500</v>
          </cell>
          <cell r="H526">
            <v>4</v>
          </cell>
          <cell r="I526">
            <v>1</v>
          </cell>
        </row>
        <row r="527">
          <cell r="B527" t="str">
            <v>كينغ غولتشيي اند غابانا - K- رجالي</v>
          </cell>
          <cell r="C527" t="str">
            <v>إخراج</v>
          </cell>
          <cell r="G527">
            <v>315</v>
          </cell>
          <cell r="H527">
            <v>1</v>
          </cell>
          <cell r="I527">
            <v>6</v>
          </cell>
        </row>
        <row r="528">
          <cell r="B528" t="str">
            <v xml:space="preserve">فانتازيا بريتني سبيرس - للجنسين </v>
          </cell>
          <cell r="C528" t="str">
            <v>إخراج</v>
          </cell>
          <cell r="G528">
            <v>263</v>
          </cell>
          <cell r="H528">
            <v>4</v>
          </cell>
          <cell r="I528">
            <v>5</v>
          </cell>
        </row>
        <row r="529">
          <cell r="B529" t="str">
            <v>تايغر بولغاري - رجالي</v>
          </cell>
          <cell r="C529" t="str">
            <v>إخراج</v>
          </cell>
          <cell r="G529">
            <v>272</v>
          </cell>
          <cell r="H529" t="str">
            <v/>
          </cell>
          <cell r="I529" t="str">
            <v/>
          </cell>
        </row>
        <row r="530">
          <cell r="B530" t="str">
            <v>امريكان سبريت امريكان - رجالي</v>
          </cell>
          <cell r="C530" t="str">
            <v>إخراج</v>
          </cell>
          <cell r="G530">
            <v>182</v>
          </cell>
          <cell r="H530">
            <v>3</v>
          </cell>
          <cell r="I530">
            <v>6</v>
          </cell>
        </row>
        <row r="531">
          <cell r="B531" t="str">
            <v>باشا دي كارتير - رجالي</v>
          </cell>
          <cell r="C531" t="str">
            <v>إخراج</v>
          </cell>
          <cell r="G531">
            <v>240</v>
          </cell>
          <cell r="H531">
            <v>2</v>
          </cell>
          <cell r="I531">
            <v>4</v>
          </cell>
        </row>
        <row r="532">
          <cell r="B532" t="str">
            <v>كول ووتر دافيدوف -رجالي</v>
          </cell>
          <cell r="C532" t="str">
            <v>إخراج</v>
          </cell>
          <cell r="G532">
            <v>210</v>
          </cell>
          <cell r="H532">
            <v>2</v>
          </cell>
          <cell r="I532">
            <v>3</v>
          </cell>
        </row>
        <row r="533">
          <cell r="B533" t="str">
            <v>انرجايس هوغو - رجالي</v>
          </cell>
          <cell r="C533" t="str">
            <v>إخراج</v>
          </cell>
          <cell r="G533">
            <v>288</v>
          </cell>
          <cell r="H533">
            <v>1</v>
          </cell>
          <cell r="I533">
            <v>3</v>
          </cell>
        </row>
        <row r="534">
          <cell r="B534" t="str">
            <v>ديزاير دينهيل - رجالي</v>
          </cell>
          <cell r="C534" t="str">
            <v>إخراج</v>
          </cell>
          <cell r="G534">
            <v>311</v>
          </cell>
          <cell r="H534">
            <v>1</v>
          </cell>
          <cell r="I534">
            <v>5</v>
          </cell>
        </row>
        <row r="535">
          <cell r="B535" t="str">
            <v>مسك رمان إبراهيم قرشي -للجنسين</v>
          </cell>
          <cell r="C535" t="str">
            <v>إخراج</v>
          </cell>
          <cell r="G535">
            <v>244</v>
          </cell>
          <cell r="H535" t="str">
            <v>مختوم ومسك</v>
          </cell>
          <cell r="I535" t="str">
            <v>-</v>
          </cell>
        </row>
        <row r="536">
          <cell r="B536" t="str">
            <v>بكرات روج mfk -للجنسين</v>
          </cell>
          <cell r="C536" t="str">
            <v>إخراج</v>
          </cell>
          <cell r="G536">
            <v>320</v>
          </cell>
          <cell r="H536">
            <v>3</v>
          </cell>
          <cell r="I536">
            <v>3</v>
          </cell>
        </row>
        <row r="537">
          <cell r="B537" t="str">
            <v>مانجا - للجنسين</v>
          </cell>
          <cell r="C537" t="str">
            <v>إخراج</v>
          </cell>
          <cell r="G537">
            <v>468</v>
          </cell>
          <cell r="H537" t="str">
            <v/>
          </cell>
          <cell r="I537" t="str">
            <v/>
          </cell>
        </row>
        <row r="538">
          <cell r="B538" t="str">
            <v>نسيم البحر - للجنسين</v>
          </cell>
          <cell r="C538" t="str">
            <v>إخراج</v>
          </cell>
          <cell r="G538">
            <v>352</v>
          </cell>
          <cell r="H538" t="str">
            <v/>
          </cell>
          <cell r="I538" t="str">
            <v/>
          </cell>
        </row>
        <row r="539">
          <cell r="G539" t="str">
            <v/>
          </cell>
          <cell r="H539" t="str">
            <v/>
          </cell>
          <cell r="I539" t="str">
            <v/>
          </cell>
        </row>
        <row r="540">
          <cell r="B540" t="str">
            <v>سترونغر وذ يو انتنسلي امبريو ارماني - رجالي</v>
          </cell>
          <cell r="C540" t="str">
            <v>إدخال</v>
          </cell>
          <cell r="G540">
            <v>291</v>
          </cell>
          <cell r="H540">
            <v>3</v>
          </cell>
          <cell r="I540">
            <v>4</v>
          </cell>
        </row>
        <row r="541">
          <cell r="B541" t="str">
            <v xml:space="preserve">بارادايس غاردن  جامبول غويته - رجالي </v>
          </cell>
          <cell r="C541" t="str">
            <v>إدخال</v>
          </cell>
          <cell r="G541">
            <v>290</v>
          </cell>
          <cell r="H541">
            <v>3</v>
          </cell>
          <cell r="I541" t="str">
            <v>1ط2</v>
          </cell>
        </row>
        <row r="542">
          <cell r="B542" t="str">
            <v>لابيل جامبول غوتيه -  نسائي</v>
          </cell>
          <cell r="C542" t="str">
            <v>إدخال</v>
          </cell>
          <cell r="G542">
            <v>158</v>
          </cell>
          <cell r="H542" t="str">
            <v/>
          </cell>
          <cell r="I542" t="str">
            <v/>
          </cell>
        </row>
        <row r="543">
          <cell r="B543" t="str">
            <v>كيالي فانيل  28 - نسائي</v>
          </cell>
          <cell r="C543" t="str">
            <v>إدخال</v>
          </cell>
          <cell r="G543">
            <v>98</v>
          </cell>
          <cell r="H543">
            <v>6</v>
          </cell>
          <cell r="I543">
            <v>6</v>
          </cell>
        </row>
        <row r="544">
          <cell r="B544" t="str">
            <v xml:space="preserve">فوالا قصة - للجنسين </v>
          </cell>
          <cell r="C544" t="str">
            <v>إدخال</v>
          </cell>
          <cell r="G544">
            <v>324</v>
          </cell>
          <cell r="H544">
            <v>6</v>
          </cell>
          <cell r="I544">
            <v>1</v>
          </cell>
        </row>
        <row r="545">
          <cell r="B545" t="str">
            <v>مارشميلو كيالي - نسائي</v>
          </cell>
          <cell r="C545" t="str">
            <v>إدخال</v>
          </cell>
          <cell r="G545">
            <v>349</v>
          </cell>
          <cell r="H545">
            <v>5</v>
          </cell>
          <cell r="I545">
            <v>1</v>
          </cell>
        </row>
        <row r="546">
          <cell r="B546" t="str">
            <v>سيمفوني من لويس فيتون - للجنسين</v>
          </cell>
          <cell r="C546" t="str">
            <v>إدخال</v>
          </cell>
          <cell r="G546">
            <v>493</v>
          </cell>
          <cell r="H546" t="str">
            <v/>
          </cell>
          <cell r="I546" t="str">
            <v/>
          </cell>
        </row>
        <row r="547">
          <cell r="B547" t="str">
            <v>ماتري بريميير - للجنسين</v>
          </cell>
          <cell r="C547" t="str">
            <v>إدخال</v>
          </cell>
          <cell r="G547">
            <v>97</v>
          </cell>
          <cell r="H547">
            <v>6</v>
          </cell>
          <cell r="I547">
            <v>4</v>
          </cell>
        </row>
        <row r="548">
          <cell r="B548" t="str">
            <v>هاشيفات نيشاني - رجالي</v>
          </cell>
          <cell r="C548" t="str">
            <v>إدخال</v>
          </cell>
          <cell r="G548">
            <v>322</v>
          </cell>
          <cell r="H548">
            <v>3</v>
          </cell>
          <cell r="I548">
            <v>1</v>
          </cell>
        </row>
        <row r="549">
          <cell r="B549" t="str">
            <v>لابومبا كارولينا هيريرا -  نسائي</v>
          </cell>
          <cell r="C549" t="str">
            <v>إدخال</v>
          </cell>
          <cell r="G549">
            <v>558</v>
          </cell>
          <cell r="H549">
            <v>4</v>
          </cell>
          <cell r="I549">
            <v>3</v>
          </cell>
        </row>
        <row r="550">
          <cell r="B550" t="str">
            <v>تانغو قصة - غاد اوف فاير - للجنسين</v>
          </cell>
          <cell r="C550" t="str">
            <v>إدخال</v>
          </cell>
          <cell r="G550">
            <v>497</v>
          </cell>
          <cell r="H550" t="str">
            <v/>
          </cell>
          <cell r="I550" t="str">
            <v/>
          </cell>
        </row>
        <row r="551">
          <cell r="B551" t="str">
            <v xml:space="preserve">توماس كوسمالا 4 - للجنسين </v>
          </cell>
          <cell r="C551" t="str">
            <v>إدخال</v>
          </cell>
          <cell r="G551">
            <v>216</v>
          </cell>
          <cell r="H551">
            <v>3</v>
          </cell>
          <cell r="I551">
            <v>4</v>
          </cell>
        </row>
        <row r="552">
          <cell r="B552" t="str">
            <v xml:space="preserve">ايكون ابسوليت دينهل - بنتلي ابسولو - ابسولو - للجنسين </v>
          </cell>
          <cell r="C552" t="str">
            <v>إدخال</v>
          </cell>
          <cell r="G552">
            <v>295</v>
          </cell>
          <cell r="H552" t="str">
            <v/>
          </cell>
          <cell r="I552" t="str">
            <v/>
          </cell>
        </row>
        <row r="553">
          <cell r="B553" t="str">
            <v xml:space="preserve">عود فور غرتنس  اينيتيو - للجنسين </v>
          </cell>
          <cell r="C553" t="str">
            <v>إدخال</v>
          </cell>
          <cell r="G553">
            <v>293</v>
          </cell>
          <cell r="H553">
            <v>3</v>
          </cell>
          <cell r="I553">
            <v>6</v>
          </cell>
        </row>
        <row r="554">
          <cell r="B554" t="str">
            <v>الكسندريا 2 اكس زارجوف - رجالي</v>
          </cell>
          <cell r="C554" t="str">
            <v>إدخال</v>
          </cell>
          <cell r="G554">
            <v>227</v>
          </cell>
          <cell r="H554">
            <v>3</v>
          </cell>
          <cell r="I554" t="str">
            <v>1ط2</v>
          </cell>
        </row>
        <row r="555">
          <cell r="B555" t="str">
            <v>سي اتش كارولينا هيريرا - نسائي</v>
          </cell>
          <cell r="C555" t="str">
            <v>إدخال</v>
          </cell>
          <cell r="G555">
            <v>376</v>
          </cell>
          <cell r="H555" t="str">
            <v/>
          </cell>
          <cell r="I555" t="str">
            <v/>
          </cell>
        </row>
        <row r="556">
          <cell r="B556" t="str">
            <v>الثائر بارفان دي مارلي - رجالي</v>
          </cell>
          <cell r="C556" t="str">
            <v>إدخال</v>
          </cell>
          <cell r="G556">
            <v>135</v>
          </cell>
          <cell r="H556">
            <v>1</v>
          </cell>
          <cell r="I556">
            <v>3</v>
          </cell>
        </row>
        <row r="557">
          <cell r="B557" t="str">
            <v xml:space="preserve">توباكو فانيل توم فورد - للجنسين </v>
          </cell>
          <cell r="C557" t="str">
            <v>إدخال</v>
          </cell>
          <cell r="G557">
            <v>242</v>
          </cell>
          <cell r="H557">
            <v>1</v>
          </cell>
          <cell r="I557">
            <v>5</v>
          </cell>
        </row>
        <row r="558">
          <cell r="B558" t="str">
            <v>كينغ ليذر - ايرش ليذر ميمو - للجنسين</v>
          </cell>
          <cell r="C558" t="str">
            <v>إدخال</v>
          </cell>
          <cell r="G558">
            <v>256</v>
          </cell>
          <cell r="H558" t="str">
            <v/>
          </cell>
          <cell r="I558" t="str">
            <v/>
          </cell>
        </row>
        <row r="559">
          <cell r="B559" t="str">
            <v>كلمات العربية للعود - للجنسين</v>
          </cell>
          <cell r="C559" t="str">
            <v>إدخال</v>
          </cell>
          <cell r="G559">
            <v>280</v>
          </cell>
          <cell r="H559">
            <v>3</v>
          </cell>
          <cell r="I559">
            <v>6</v>
          </cell>
        </row>
        <row r="560">
          <cell r="B560" t="str">
            <v>اسنترك ماليكولاس 002 -للجنسين</v>
          </cell>
          <cell r="C560" t="str">
            <v>إدخال</v>
          </cell>
          <cell r="G560">
            <v>221</v>
          </cell>
          <cell r="H560">
            <v>1</v>
          </cell>
          <cell r="I560">
            <v>6</v>
          </cell>
        </row>
        <row r="561">
          <cell r="B561" t="str">
            <v>عود الابياد - إبراهيم القرشيي - للجنسين</v>
          </cell>
          <cell r="C561" t="str">
            <v>إدخال</v>
          </cell>
          <cell r="G561">
            <v>298</v>
          </cell>
          <cell r="H561">
            <v>2</v>
          </cell>
          <cell r="I561">
            <v>4</v>
          </cell>
        </row>
        <row r="562">
          <cell r="B562" t="str">
            <v>ستيلر تايم - ايمرالد - للجنسين</v>
          </cell>
          <cell r="C562" t="str">
            <v>إدخال</v>
          </cell>
          <cell r="G562">
            <v>375</v>
          </cell>
          <cell r="H562">
            <v>3</v>
          </cell>
          <cell r="I562">
            <v>7</v>
          </cell>
        </row>
        <row r="563">
          <cell r="B563" t="str">
            <v>اربيان تونكا مونتال - للجنسين</v>
          </cell>
          <cell r="C563" t="str">
            <v>إدخال</v>
          </cell>
          <cell r="G563">
            <v>190</v>
          </cell>
          <cell r="H563">
            <v>1</v>
          </cell>
          <cell r="I563">
            <v>4</v>
          </cell>
        </row>
        <row r="564">
          <cell r="B564" t="str">
            <v>حريم السلطان - وصال الدهبي - للجنسين</v>
          </cell>
          <cell r="C564" t="str">
            <v>إدخال</v>
          </cell>
          <cell r="G564">
            <v>252</v>
          </cell>
          <cell r="H564" t="str">
            <v/>
          </cell>
          <cell r="I564" t="str">
            <v/>
          </cell>
        </row>
        <row r="565">
          <cell r="B565" t="str">
            <v xml:space="preserve">سلك مسك رصاصي - لاكشري مسك - للجنسين </v>
          </cell>
          <cell r="C565" t="str">
            <v>إدخال</v>
          </cell>
          <cell r="G565">
            <v>251</v>
          </cell>
          <cell r="H565">
            <v>3</v>
          </cell>
          <cell r="I565">
            <v>1</v>
          </cell>
        </row>
        <row r="566">
          <cell r="B566" t="str">
            <v>لالونا - عود ماركوجا - للجنسين</v>
          </cell>
          <cell r="C566" t="str">
            <v>إدخال</v>
          </cell>
          <cell r="G566">
            <v>285</v>
          </cell>
          <cell r="H566">
            <v>1</v>
          </cell>
          <cell r="I566">
            <v>6</v>
          </cell>
        </row>
        <row r="567">
          <cell r="B567" t="str">
            <v>برادا بارادوكس - نسائي</v>
          </cell>
          <cell r="C567" t="str">
            <v>إدخال</v>
          </cell>
          <cell r="G567">
            <v>296</v>
          </cell>
          <cell r="H567" t="str">
            <v/>
          </cell>
          <cell r="I567" t="str">
            <v/>
          </cell>
        </row>
        <row r="568">
          <cell r="B568" t="str">
            <v>مونت بلانك ليجينت - رجاليي</v>
          </cell>
          <cell r="C568" t="str">
            <v>إدخال</v>
          </cell>
          <cell r="G568">
            <v>600</v>
          </cell>
          <cell r="H568">
            <v>3</v>
          </cell>
          <cell r="I568">
            <v>1</v>
          </cell>
        </row>
        <row r="569">
          <cell r="B569" t="str">
            <v>بيغاسوس بارفام ديمارلي - رجالي</v>
          </cell>
          <cell r="C569" t="str">
            <v>إدخال</v>
          </cell>
          <cell r="G569">
            <v>169</v>
          </cell>
          <cell r="H569">
            <v>2</v>
          </cell>
          <cell r="I569">
            <v>1</v>
          </cell>
        </row>
        <row r="570">
          <cell r="B570" t="str">
            <v>سيكار  كوبا - رجالي</v>
          </cell>
          <cell r="C570" t="str">
            <v>إدخال</v>
          </cell>
          <cell r="G570">
            <v>240</v>
          </cell>
          <cell r="H570" t="str">
            <v/>
          </cell>
          <cell r="I570" t="str">
            <v/>
          </cell>
        </row>
        <row r="571">
          <cell r="B571" t="str">
            <v>التراميل نومال جامبول غويته - رجالي</v>
          </cell>
          <cell r="C571" t="str">
            <v>إدخال</v>
          </cell>
          <cell r="G571">
            <v>271</v>
          </cell>
          <cell r="H571" t="str">
            <v/>
          </cell>
          <cell r="I571" t="str">
            <v/>
          </cell>
        </row>
        <row r="572">
          <cell r="B572" t="str">
            <v>بتلد بوس - رجالي</v>
          </cell>
          <cell r="C572" t="str">
            <v>إدخال</v>
          </cell>
          <cell r="G572">
            <v>257</v>
          </cell>
          <cell r="H572">
            <v>2</v>
          </cell>
          <cell r="I572">
            <v>2</v>
          </cell>
        </row>
        <row r="573">
          <cell r="B573" t="str">
            <v>بلو جينز فرزاتشي - رجالي</v>
          </cell>
          <cell r="C573" t="str">
            <v>إدخال</v>
          </cell>
          <cell r="G573">
            <v>250</v>
          </cell>
          <cell r="H573" t="str">
            <v/>
          </cell>
          <cell r="I573" t="str">
            <v/>
          </cell>
        </row>
        <row r="574">
          <cell r="B574" t="str">
            <v>بلاك اكس اس بوشن باكورابان - للجنسين</v>
          </cell>
          <cell r="C574" t="str">
            <v>إدخال</v>
          </cell>
          <cell r="G574">
            <v>401</v>
          </cell>
          <cell r="H574" t="str">
            <v/>
          </cell>
          <cell r="I574" t="str">
            <v/>
          </cell>
        </row>
        <row r="575">
          <cell r="B575" t="str">
            <v>مان ان بلاك</v>
          </cell>
          <cell r="C575" t="str">
            <v>إدخال</v>
          </cell>
          <cell r="G575">
            <v>199</v>
          </cell>
          <cell r="H575" t="str">
            <v/>
          </cell>
          <cell r="I575" t="str">
            <v/>
          </cell>
        </row>
        <row r="576">
          <cell r="B576" t="str">
            <v>فلانتينو في - دارج رصاصي - رجالي</v>
          </cell>
          <cell r="C576" t="str">
            <v>إدخال</v>
          </cell>
          <cell r="G576">
            <v>93</v>
          </cell>
          <cell r="H576">
            <v>2</v>
          </cell>
          <cell r="I576">
            <v>5</v>
          </cell>
        </row>
        <row r="577">
          <cell r="B577" t="str">
            <v>فندي بورهوم - رجالي</v>
          </cell>
          <cell r="C577" t="str">
            <v>إدخال</v>
          </cell>
          <cell r="G577">
            <v>324</v>
          </cell>
          <cell r="H577">
            <v>2</v>
          </cell>
          <cell r="I577">
            <v>2</v>
          </cell>
        </row>
        <row r="578">
          <cell r="B578" t="str">
            <v>لاكوست وايت - رجالي</v>
          </cell>
          <cell r="C578" t="str">
            <v>إدخال</v>
          </cell>
          <cell r="G578">
            <v>444</v>
          </cell>
          <cell r="H578">
            <v>3</v>
          </cell>
          <cell r="I578">
            <v>4</v>
          </cell>
        </row>
        <row r="579">
          <cell r="B579" t="str">
            <v>افترنون سويم L.V -للجنسين</v>
          </cell>
          <cell r="C579" t="str">
            <v>إدخال</v>
          </cell>
          <cell r="G579">
            <v>424</v>
          </cell>
          <cell r="H579" t="str">
            <v/>
          </cell>
          <cell r="I579" t="str">
            <v/>
          </cell>
        </row>
        <row r="580">
          <cell r="B580" t="str">
            <v>سيلفر سينت بوجارد - رجالي</v>
          </cell>
          <cell r="C580" t="str">
            <v>إدخال</v>
          </cell>
          <cell r="G580">
            <v>440</v>
          </cell>
          <cell r="H580" t="str">
            <v/>
          </cell>
          <cell r="I580" t="str">
            <v/>
          </cell>
        </row>
        <row r="581">
          <cell r="B581" t="str">
            <v>ليمو سيتي L.V - رجالي</v>
          </cell>
          <cell r="C581" t="str">
            <v>إدخال</v>
          </cell>
          <cell r="G581">
            <v>201</v>
          </cell>
          <cell r="H581" t="str">
            <v/>
          </cell>
          <cell r="I581" t="str">
            <v/>
          </cell>
        </row>
        <row r="582">
          <cell r="B582" t="str">
            <v>ناكسوس اكس ارجوف - للجنسين</v>
          </cell>
          <cell r="C582" t="str">
            <v>إدخال</v>
          </cell>
          <cell r="G582">
            <v>369</v>
          </cell>
          <cell r="H582">
            <v>2</v>
          </cell>
          <cell r="I582">
            <v>1</v>
          </cell>
        </row>
        <row r="583">
          <cell r="B583" t="str">
            <v>اربابورا  سوسبيرو - رجالي</v>
          </cell>
          <cell r="C583" t="str">
            <v>إدخال</v>
          </cell>
          <cell r="G583">
            <v>261</v>
          </cell>
          <cell r="H583">
            <v>3</v>
          </cell>
          <cell r="I583">
            <v>2</v>
          </cell>
        </row>
        <row r="584">
          <cell r="B584" t="str">
            <v>كوروس Y.S.L -رجالي</v>
          </cell>
          <cell r="C584" t="str">
            <v>إدخال</v>
          </cell>
          <cell r="G584">
            <v>252</v>
          </cell>
          <cell r="H584" t="str">
            <v/>
          </cell>
          <cell r="I584" t="str">
            <v/>
          </cell>
        </row>
        <row r="585">
          <cell r="B585" t="str">
            <v>سترونغ مي باكورابان - رجالي</v>
          </cell>
          <cell r="C585" t="str">
            <v>إدخال</v>
          </cell>
          <cell r="G585">
            <v>178</v>
          </cell>
          <cell r="H585" t="str">
            <v/>
          </cell>
          <cell r="I585" t="str">
            <v/>
          </cell>
        </row>
        <row r="586">
          <cell r="B586" t="str">
            <v>بلو فور مان رصاصي - رجاليي</v>
          </cell>
          <cell r="C586" t="str">
            <v>إدخال</v>
          </cell>
          <cell r="G586">
            <v>288</v>
          </cell>
          <cell r="H586">
            <v>3</v>
          </cell>
          <cell r="I586">
            <v>1</v>
          </cell>
        </row>
        <row r="587">
          <cell r="B587" t="str">
            <v>اترنتي كالفين كلاين - رجالي</v>
          </cell>
          <cell r="C587" t="str">
            <v>إدخال</v>
          </cell>
          <cell r="G587">
            <v>326</v>
          </cell>
          <cell r="H587" t="str">
            <v/>
          </cell>
          <cell r="I587" t="str">
            <v/>
          </cell>
        </row>
        <row r="588">
          <cell r="B588" t="str">
            <v>سبايس بومب فيكتور رولف - رجالي</v>
          </cell>
          <cell r="C588" t="str">
            <v>إدخال</v>
          </cell>
          <cell r="G588">
            <v>1123</v>
          </cell>
          <cell r="H588">
            <v>3</v>
          </cell>
          <cell r="I588" t="str">
            <v>3ط2</v>
          </cell>
        </row>
        <row r="589">
          <cell r="B589" t="str">
            <v>سوفاج كريستيان ديور - رجالي</v>
          </cell>
          <cell r="C589" t="str">
            <v>إدخال</v>
          </cell>
          <cell r="G589">
            <v>268</v>
          </cell>
          <cell r="H589">
            <v>3</v>
          </cell>
          <cell r="I589">
            <v>7</v>
          </cell>
        </row>
        <row r="590">
          <cell r="B590" t="str">
            <v>ايماجينيشن L.V - رجالي</v>
          </cell>
          <cell r="C590" t="str">
            <v>إدخال</v>
          </cell>
          <cell r="G590">
            <v>430</v>
          </cell>
          <cell r="H590">
            <v>3</v>
          </cell>
          <cell r="I590">
            <v>7</v>
          </cell>
        </row>
        <row r="591">
          <cell r="B591" t="str">
            <v>ايليسيوم روجا دوف -رجالي</v>
          </cell>
          <cell r="C591" t="str">
            <v>إدخال</v>
          </cell>
          <cell r="G591">
            <v>282</v>
          </cell>
          <cell r="H591" t="str">
            <v/>
          </cell>
          <cell r="I591" t="str">
            <v/>
          </cell>
        </row>
        <row r="592">
          <cell r="B592" t="str">
            <v>تيري دي هرمز - رجالي</v>
          </cell>
          <cell r="C592" t="str">
            <v>إدخال</v>
          </cell>
          <cell r="G592">
            <v>361</v>
          </cell>
          <cell r="H592" t="str">
            <v/>
          </cell>
          <cell r="I592" t="str">
            <v/>
          </cell>
        </row>
        <row r="593">
          <cell r="B593" t="str">
            <v>كول ووتر دافيدوف -رجالي</v>
          </cell>
          <cell r="C593" t="str">
            <v>إدخال</v>
          </cell>
          <cell r="G593">
            <v>455</v>
          </cell>
          <cell r="H593">
            <v>2</v>
          </cell>
          <cell r="I593">
            <v>3</v>
          </cell>
        </row>
        <row r="594">
          <cell r="B594" t="str">
            <v>مستر بربري - رجالي</v>
          </cell>
          <cell r="C594" t="str">
            <v>إدخال</v>
          </cell>
          <cell r="G594">
            <v>474</v>
          </cell>
          <cell r="H594">
            <v>2</v>
          </cell>
          <cell r="I594">
            <v>5</v>
          </cell>
        </row>
        <row r="595">
          <cell r="B595" t="str">
            <v>اكوا دي جيو جورجيو ارماني - رجالي</v>
          </cell>
          <cell r="C595" t="str">
            <v>إدخال</v>
          </cell>
          <cell r="G595">
            <v>249</v>
          </cell>
          <cell r="H595">
            <v>3</v>
          </cell>
          <cell r="I595">
            <v>3</v>
          </cell>
        </row>
        <row r="596">
          <cell r="B596" t="str">
            <v>بلو تاليسمان من إكس نيهيلو - للجنسين</v>
          </cell>
          <cell r="C596" t="str">
            <v>إدخال</v>
          </cell>
          <cell r="G596">
            <v>271</v>
          </cell>
          <cell r="H596">
            <v>3</v>
          </cell>
          <cell r="I596">
            <v>3</v>
          </cell>
        </row>
        <row r="597">
          <cell r="B597" t="str">
            <v>تيروني اورتو باريس - للجنسين</v>
          </cell>
          <cell r="C597" t="str">
            <v>إدخال</v>
          </cell>
          <cell r="G597">
            <v>130</v>
          </cell>
          <cell r="H597" t="str">
            <v/>
          </cell>
          <cell r="I597" t="str">
            <v/>
          </cell>
        </row>
        <row r="598">
          <cell r="B598" t="str">
            <v>ماليزيا اخضر - دينهل القديم - رجالي</v>
          </cell>
          <cell r="C598" t="str">
            <v>إدخال</v>
          </cell>
          <cell r="G598">
            <v>289</v>
          </cell>
          <cell r="H598" t="str">
            <v/>
          </cell>
          <cell r="I598" t="str">
            <v/>
          </cell>
        </row>
        <row r="599">
          <cell r="B599" t="str">
            <v>بولغاري بلو - رويال بلو - رجالي</v>
          </cell>
          <cell r="C599" t="str">
            <v>إدخال</v>
          </cell>
          <cell r="G599">
            <v>503</v>
          </cell>
          <cell r="H599" t="str">
            <v/>
          </cell>
          <cell r="I599" t="str">
            <v/>
          </cell>
        </row>
        <row r="600">
          <cell r="B600" t="str">
            <v>تشامبيون دافيدوف - رجالي</v>
          </cell>
          <cell r="C600" t="str">
            <v>إدخال</v>
          </cell>
          <cell r="G600">
            <v>303</v>
          </cell>
          <cell r="H600" t="str">
            <v/>
          </cell>
          <cell r="I600" t="str">
            <v/>
          </cell>
        </row>
        <row r="601">
          <cell r="B601" t="str">
            <v>سترونغر وذ يو امبريو ارماني - رجالي</v>
          </cell>
          <cell r="C601" t="str">
            <v>إدخال</v>
          </cell>
          <cell r="G601">
            <v>630</v>
          </cell>
          <cell r="H601">
            <v>3</v>
          </cell>
          <cell r="I601">
            <v>5</v>
          </cell>
        </row>
        <row r="602">
          <cell r="B602" t="str">
            <v>مان212 كارولينا هيريرا - رجالي</v>
          </cell>
          <cell r="C602" t="str">
            <v>إدخال</v>
          </cell>
          <cell r="G602">
            <v>437</v>
          </cell>
          <cell r="H602" t="str">
            <v/>
          </cell>
          <cell r="I602" t="str">
            <v/>
          </cell>
        </row>
        <row r="603">
          <cell r="B603" t="str">
            <v xml:space="preserve">كركي تزيانا تيرينزي - للجنسين </v>
          </cell>
          <cell r="C603" t="str">
            <v>إدخال</v>
          </cell>
          <cell r="G603">
            <v>321</v>
          </cell>
          <cell r="H603">
            <v>3</v>
          </cell>
          <cell r="I603" t="str">
            <v>2ط2</v>
          </cell>
        </row>
        <row r="604">
          <cell r="B604" t="str">
            <v xml:space="preserve">ريد توباكو مانسيرا - للجنسين </v>
          </cell>
          <cell r="C604" t="str">
            <v>إدخال</v>
          </cell>
          <cell r="G604">
            <v>183</v>
          </cell>
          <cell r="H604" t="str">
            <v/>
          </cell>
          <cell r="I604" t="str">
            <v/>
          </cell>
        </row>
        <row r="605">
          <cell r="B605" t="str">
            <v>فانتوم باكورابان - رجاليي</v>
          </cell>
          <cell r="C605" t="str">
            <v>إدخال</v>
          </cell>
          <cell r="G605">
            <v>193</v>
          </cell>
          <cell r="H605" t="str">
            <v/>
          </cell>
          <cell r="I605" t="str">
            <v/>
          </cell>
        </row>
        <row r="606">
          <cell r="B606" t="str">
            <v>جيمس بوند 007 - رجالي</v>
          </cell>
          <cell r="C606" t="str">
            <v>إدخال</v>
          </cell>
          <cell r="G606">
            <v>823</v>
          </cell>
          <cell r="H606" t="str">
            <v/>
          </cell>
          <cell r="I606" t="str">
            <v/>
          </cell>
        </row>
        <row r="607">
          <cell r="B607" t="str">
            <v>سيلفر شادو دافيدوف - رجالي</v>
          </cell>
          <cell r="C607" t="str">
            <v>إدخال</v>
          </cell>
          <cell r="G607">
            <v>472</v>
          </cell>
          <cell r="H607" t="str">
            <v/>
          </cell>
          <cell r="I607" t="str">
            <v/>
          </cell>
        </row>
        <row r="608">
          <cell r="B608" t="str">
            <v>نوار اكستريم  توم فورد - رجالي</v>
          </cell>
          <cell r="C608" t="str">
            <v>إدخال</v>
          </cell>
          <cell r="G608">
            <v>408</v>
          </cell>
          <cell r="H608">
            <v>2</v>
          </cell>
          <cell r="I608">
            <v>6</v>
          </cell>
        </row>
        <row r="609">
          <cell r="B609" t="str">
            <v>لابيدوس تيد - رجالي</v>
          </cell>
          <cell r="C609" t="str">
            <v>إدخال</v>
          </cell>
          <cell r="G609">
            <v>235</v>
          </cell>
          <cell r="H609">
            <v>2</v>
          </cell>
          <cell r="I609">
            <v>6</v>
          </cell>
        </row>
        <row r="610">
          <cell r="B610" t="str">
            <v>موست وانتد ازارو - رجالي</v>
          </cell>
          <cell r="C610" t="str">
            <v>إدخال</v>
          </cell>
          <cell r="G610">
            <v>472</v>
          </cell>
          <cell r="H610">
            <v>3</v>
          </cell>
          <cell r="I610">
            <v>3</v>
          </cell>
        </row>
        <row r="611">
          <cell r="B611" t="str">
            <v>لابومبا كارولينا هيريرا -  نسائي</v>
          </cell>
          <cell r="C611" t="str">
            <v>إدخال</v>
          </cell>
          <cell r="G611">
            <v>99</v>
          </cell>
          <cell r="H611">
            <v>4</v>
          </cell>
          <cell r="I611">
            <v>3</v>
          </cell>
        </row>
        <row r="612">
          <cell r="B612" t="str">
            <v>كينغ غولتشيي اند غابانا - K- رجالي</v>
          </cell>
          <cell r="C612" t="str">
            <v>إدخال</v>
          </cell>
          <cell r="G612">
            <v>453</v>
          </cell>
          <cell r="H612">
            <v>1</v>
          </cell>
          <cell r="I612">
            <v>6</v>
          </cell>
        </row>
        <row r="613">
          <cell r="B613" t="str">
            <v>ايجوست بلاتينيوم شانيل - رجالي</v>
          </cell>
          <cell r="C613" t="str">
            <v>إدخال</v>
          </cell>
          <cell r="G613">
            <v>426</v>
          </cell>
          <cell r="H613">
            <v>3</v>
          </cell>
          <cell r="I613" t="str">
            <v>1ط2</v>
          </cell>
        </row>
        <row r="614">
          <cell r="B614" t="str">
            <v>أمباسادور من جيسادا - رجالي</v>
          </cell>
          <cell r="C614" t="str">
            <v>إدخال</v>
          </cell>
          <cell r="G614">
            <v>524</v>
          </cell>
          <cell r="H614" t="str">
            <v/>
          </cell>
          <cell r="I614" t="str">
            <v/>
          </cell>
        </row>
        <row r="615">
          <cell r="B615" t="str">
            <v>اراميس 900 - رجالي</v>
          </cell>
          <cell r="C615" t="str">
            <v>إدخال</v>
          </cell>
          <cell r="G615">
            <v>191</v>
          </cell>
          <cell r="H615" t="str">
            <v/>
          </cell>
          <cell r="I615" t="str">
            <v/>
          </cell>
        </row>
        <row r="616">
          <cell r="B616" t="str">
            <v>جيو بروفوم جورجييو ارماني - رجالي</v>
          </cell>
          <cell r="C616" t="str">
            <v>إدخال</v>
          </cell>
          <cell r="G616">
            <v>395</v>
          </cell>
          <cell r="H616" t="str">
            <v/>
          </cell>
          <cell r="I616" t="str">
            <v/>
          </cell>
        </row>
        <row r="617">
          <cell r="B617" t="str">
            <v>الور هوم سبورت شانيل - رجالي</v>
          </cell>
          <cell r="C617" t="str">
            <v>إدخال</v>
          </cell>
          <cell r="G617">
            <v>430</v>
          </cell>
          <cell r="H617">
            <v>3</v>
          </cell>
          <cell r="I617">
            <v>1</v>
          </cell>
        </row>
        <row r="618">
          <cell r="B618" t="str">
            <v>سوفاج الكسير كريستيان ديور - رجالي</v>
          </cell>
          <cell r="C618" t="str">
            <v>إدخال</v>
          </cell>
          <cell r="G618">
            <v>312</v>
          </cell>
          <cell r="H618">
            <v>1</v>
          </cell>
          <cell r="I618">
            <v>4</v>
          </cell>
        </row>
        <row r="619">
          <cell r="B619" t="str">
            <v>ايكو دافيدوف - رجالي</v>
          </cell>
          <cell r="C619" t="str">
            <v>إدخال</v>
          </cell>
          <cell r="G619">
            <v>424</v>
          </cell>
          <cell r="H619" t="str">
            <v/>
          </cell>
          <cell r="I619" t="str">
            <v/>
          </cell>
        </row>
        <row r="620">
          <cell r="B620" t="str">
            <v>تايغر بولغاري - رجالي</v>
          </cell>
          <cell r="C620" t="str">
            <v>إدخال</v>
          </cell>
          <cell r="G620">
            <v>351</v>
          </cell>
          <cell r="H620" t="str">
            <v/>
          </cell>
          <cell r="I620" t="str">
            <v/>
          </cell>
        </row>
        <row r="621">
          <cell r="B621" t="str">
            <v>اكوا برافا - بينو سيلفيستر - رجالي</v>
          </cell>
          <cell r="C621" t="str">
            <v>إدخال</v>
          </cell>
          <cell r="G621">
            <v>261</v>
          </cell>
          <cell r="H621">
            <v>2</v>
          </cell>
          <cell r="I621">
            <v>3</v>
          </cell>
        </row>
        <row r="622">
          <cell r="B622" t="str">
            <v>ازارو  كروم ليجينت  - رجالي</v>
          </cell>
          <cell r="C622" t="str">
            <v>إدخال</v>
          </cell>
          <cell r="G622">
            <v>371</v>
          </cell>
          <cell r="H622">
            <v>1</v>
          </cell>
          <cell r="I622">
            <v>6</v>
          </cell>
        </row>
        <row r="623">
          <cell r="B623" t="str">
            <v>بربري هيرو - رجالي</v>
          </cell>
          <cell r="C623" t="str">
            <v>إدخال</v>
          </cell>
          <cell r="G623">
            <v>255</v>
          </cell>
          <cell r="H623" t="str">
            <v/>
          </cell>
          <cell r="I623" t="str">
            <v/>
          </cell>
        </row>
        <row r="624">
          <cell r="B624" t="str">
            <v>لاهوم ايفسان لوران Y.S.L -رجالي</v>
          </cell>
          <cell r="C624" t="str">
            <v>إدخال</v>
          </cell>
          <cell r="G624">
            <v>840</v>
          </cell>
          <cell r="H624">
            <v>1</v>
          </cell>
          <cell r="I624">
            <v>3</v>
          </cell>
        </row>
        <row r="625">
          <cell r="B625" t="str">
            <v>باتشولي انتنس نيكولاي كارتيه - رجالي</v>
          </cell>
          <cell r="C625" t="str">
            <v>إدخال</v>
          </cell>
          <cell r="G625">
            <v>232</v>
          </cell>
          <cell r="H625" t="str">
            <v/>
          </cell>
          <cell r="I625" t="str">
            <v/>
          </cell>
        </row>
        <row r="626">
          <cell r="B626" t="str">
            <v>باد ديزل - رجالي</v>
          </cell>
          <cell r="C626" t="str">
            <v>إدخال</v>
          </cell>
          <cell r="G626">
            <v>230</v>
          </cell>
          <cell r="H626" t="str">
            <v/>
          </cell>
          <cell r="I626" t="str">
            <v/>
          </cell>
        </row>
        <row r="627">
          <cell r="B627" t="str">
            <v>غوتشي باي غوتشي - رجالي</v>
          </cell>
          <cell r="C627" t="str">
            <v>إدخال</v>
          </cell>
          <cell r="G627">
            <v>214</v>
          </cell>
          <cell r="H627" t="str">
            <v/>
          </cell>
          <cell r="I627" t="str">
            <v/>
          </cell>
        </row>
        <row r="628">
          <cell r="B628" t="str">
            <v>لندن دينهل - رجالي</v>
          </cell>
          <cell r="C628" t="str">
            <v>إدخال</v>
          </cell>
          <cell r="G628">
            <v>250</v>
          </cell>
          <cell r="H628" t="str">
            <v/>
          </cell>
          <cell r="I628" t="str">
            <v/>
          </cell>
        </row>
        <row r="629">
          <cell r="B629" t="str">
            <v>سكاندل بايي نايت جامبول غوتيه -رجالي</v>
          </cell>
          <cell r="C629" t="str">
            <v>إدخال</v>
          </cell>
          <cell r="G629">
            <v>167</v>
          </cell>
          <cell r="H629">
            <v>1</v>
          </cell>
          <cell r="I629">
            <v>5</v>
          </cell>
        </row>
        <row r="630">
          <cell r="B630" t="str">
            <v>بولو بلو - رجالي</v>
          </cell>
          <cell r="C630" t="str">
            <v>إدخال</v>
          </cell>
          <cell r="G630">
            <v>86</v>
          </cell>
          <cell r="H630">
            <v>2</v>
          </cell>
          <cell r="I630">
            <v>2</v>
          </cell>
        </row>
        <row r="631">
          <cell r="B631" t="str">
            <v>جان فرانكوفيري - رجالي</v>
          </cell>
          <cell r="C631" t="str">
            <v>إدخال</v>
          </cell>
          <cell r="G631">
            <v>239</v>
          </cell>
          <cell r="H631">
            <v>2</v>
          </cell>
          <cell r="I631" t="str">
            <v>2ط2</v>
          </cell>
        </row>
        <row r="632">
          <cell r="B632" t="str">
            <v xml:space="preserve">شهرة رصاصي -للجنسين </v>
          </cell>
          <cell r="C632" t="str">
            <v>إدخال</v>
          </cell>
          <cell r="G632">
            <v>457</v>
          </cell>
          <cell r="H632" t="str">
            <v/>
          </cell>
          <cell r="I632" t="str">
            <v/>
          </cell>
        </row>
        <row r="633">
          <cell r="B633" t="str">
            <v>ون مليون لاكي باكورابان - رجالي</v>
          </cell>
          <cell r="C633" t="str">
            <v>إدخال</v>
          </cell>
          <cell r="G633">
            <v>400</v>
          </cell>
          <cell r="H633">
            <v>1</v>
          </cell>
          <cell r="I633">
            <v>1</v>
          </cell>
        </row>
        <row r="634">
          <cell r="B634" t="str">
            <v>امريكان سبريت امريكان - رجالي</v>
          </cell>
          <cell r="C634" t="str">
            <v>إدخال</v>
          </cell>
          <cell r="G634">
            <v>347</v>
          </cell>
          <cell r="H634">
            <v>3</v>
          </cell>
          <cell r="I634">
            <v>6</v>
          </cell>
        </row>
        <row r="635">
          <cell r="B635" t="str">
            <v>كاريرا - زهرة الخليج - للجنسين</v>
          </cell>
          <cell r="C635" t="str">
            <v>إدخال</v>
          </cell>
          <cell r="G635">
            <v>657</v>
          </cell>
          <cell r="H635">
            <v>2</v>
          </cell>
          <cell r="I635">
            <v>2</v>
          </cell>
        </row>
        <row r="636">
          <cell r="B636" t="str">
            <v>باكورابان بور هوم - رجالي</v>
          </cell>
          <cell r="C636" t="str">
            <v>إدخال</v>
          </cell>
          <cell r="G636">
            <v>147</v>
          </cell>
          <cell r="H636" t="str">
            <v/>
          </cell>
          <cell r="I636" t="str">
            <v/>
          </cell>
        </row>
        <row r="637">
          <cell r="B637" t="str">
            <v>دولتشي اند غابانا بورهوم -رجالي</v>
          </cell>
          <cell r="C637" t="str">
            <v>إدخال</v>
          </cell>
          <cell r="G637">
            <v>456</v>
          </cell>
          <cell r="H637" t="str">
            <v/>
          </cell>
          <cell r="I637" t="str">
            <v/>
          </cell>
        </row>
        <row r="638">
          <cell r="B638" t="str">
            <v>جوب بورهوم - رجالي</v>
          </cell>
          <cell r="C638" t="str">
            <v>إدخال</v>
          </cell>
          <cell r="G638">
            <v>203</v>
          </cell>
          <cell r="H638">
            <v>3</v>
          </cell>
          <cell r="I638">
            <v>2</v>
          </cell>
        </row>
        <row r="639">
          <cell r="B639" t="str">
            <v>بوس انموشن - رجالي</v>
          </cell>
          <cell r="C639" t="str">
            <v>إدخال</v>
          </cell>
          <cell r="G639">
            <v>823</v>
          </cell>
          <cell r="H639" t="str">
            <v/>
          </cell>
          <cell r="I639" t="str">
            <v/>
          </cell>
        </row>
        <row r="640">
          <cell r="B640" t="str">
            <v>ازارو كروم - رجالي</v>
          </cell>
          <cell r="C640" t="str">
            <v>إدخال</v>
          </cell>
          <cell r="G640">
            <v>440</v>
          </cell>
          <cell r="H640">
            <v>3</v>
          </cell>
          <cell r="I640">
            <v>4</v>
          </cell>
        </row>
        <row r="641">
          <cell r="B641" t="str">
            <v>بي جيفينشي - رجالي</v>
          </cell>
          <cell r="C641" t="str">
            <v>إدخال</v>
          </cell>
          <cell r="G641">
            <v>781</v>
          </cell>
          <cell r="H641" t="str">
            <v/>
          </cell>
          <cell r="I641" t="str">
            <v/>
          </cell>
        </row>
        <row r="642">
          <cell r="B642" t="str">
            <v>بولو بلاك - رجالي</v>
          </cell>
          <cell r="C642" t="str">
            <v>إدخال</v>
          </cell>
          <cell r="G642">
            <v>194</v>
          </cell>
          <cell r="H642" t="str">
            <v/>
          </cell>
          <cell r="I642" t="str">
            <v/>
          </cell>
        </row>
        <row r="643">
          <cell r="B643" t="str">
            <v>ماي سيلف Y.S.L - رجالي</v>
          </cell>
          <cell r="C643" t="str">
            <v>إدخال</v>
          </cell>
          <cell r="G643">
            <v>257</v>
          </cell>
          <cell r="H643">
            <v>3</v>
          </cell>
          <cell r="I643" t="str">
            <v>2ط2</v>
          </cell>
        </row>
        <row r="644">
          <cell r="B644" t="str">
            <v>باسفك تشيل L.V  - للجنسين</v>
          </cell>
          <cell r="C644" t="str">
            <v>إدخال</v>
          </cell>
          <cell r="G644">
            <v>265</v>
          </cell>
          <cell r="H644">
            <v>2</v>
          </cell>
          <cell r="I644" t="str">
            <v>3ط2</v>
          </cell>
        </row>
        <row r="645">
          <cell r="B645" t="str">
            <v>انفكتوس باكورابان - رجالي</v>
          </cell>
          <cell r="C645" t="str">
            <v>إدخال</v>
          </cell>
          <cell r="G645">
            <v>143</v>
          </cell>
          <cell r="H645">
            <v>3</v>
          </cell>
          <cell r="I645">
            <v>5</v>
          </cell>
        </row>
        <row r="646">
          <cell r="B646" t="str">
            <v>ذا غيم دافيدوف - رجالي</v>
          </cell>
          <cell r="C646" t="str">
            <v>إدخال</v>
          </cell>
          <cell r="G646">
            <v>262</v>
          </cell>
          <cell r="H646">
            <v>1</v>
          </cell>
          <cell r="I646">
            <v>2</v>
          </cell>
        </row>
        <row r="647">
          <cell r="B647" t="str">
            <v>لومال الكسير جامبول غوتيه - رجالي</v>
          </cell>
          <cell r="C647" t="str">
            <v>إدخال</v>
          </cell>
          <cell r="G647">
            <v>264</v>
          </cell>
          <cell r="H647">
            <v>2</v>
          </cell>
          <cell r="I647">
            <v>1</v>
          </cell>
        </row>
        <row r="648">
          <cell r="B648" t="str">
            <v>هيروز 212 كارولينا هيريرا - رجالي</v>
          </cell>
          <cell r="C648" t="str">
            <v>إدخال</v>
          </cell>
          <cell r="G648">
            <v>127</v>
          </cell>
          <cell r="H648" t="str">
            <v/>
          </cell>
          <cell r="I648" t="str">
            <v/>
          </cell>
        </row>
        <row r="649">
          <cell r="B649" t="str">
            <v>كينزو بورهوم - رجالي</v>
          </cell>
          <cell r="C649" t="str">
            <v>إدخال</v>
          </cell>
          <cell r="G649">
            <v>347</v>
          </cell>
          <cell r="H649">
            <v>3</v>
          </cell>
          <cell r="I649" t="str">
            <v>2ط2</v>
          </cell>
        </row>
        <row r="650">
          <cell r="B650" t="str">
            <v>جاكومو كازا نوفا - رجالي</v>
          </cell>
          <cell r="C650" t="str">
            <v>إدخال</v>
          </cell>
          <cell r="G650">
            <v>264</v>
          </cell>
          <cell r="H650">
            <v>1</v>
          </cell>
          <cell r="I650">
            <v>3</v>
          </cell>
        </row>
        <row r="651">
          <cell r="B651" t="str">
            <v>سيلفر مونتن - كريد ابيض - الوسام - رجالي</v>
          </cell>
          <cell r="C651" t="str">
            <v>إدخال</v>
          </cell>
          <cell r="G651">
            <v>513</v>
          </cell>
          <cell r="H651">
            <v>3</v>
          </cell>
          <cell r="I651">
            <v>4</v>
          </cell>
        </row>
        <row r="652">
          <cell r="B652" t="str">
            <v>هوغو بوس - رجالي</v>
          </cell>
          <cell r="C652" t="str">
            <v>إدخال</v>
          </cell>
          <cell r="G652">
            <v>663</v>
          </cell>
          <cell r="H652">
            <v>1</v>
          </cell>
          <cell r="I652">
            <v>5</v>
          </cell>
        </row>
        <row r="653">
          <cell r="B653" t="str">
            <v>ادفينشر دافيدوف - رجالي</v>
          </cell>
          <cell r="C653" t="str">
            <v>إدخال</v>
          </cell>
          <cell r="G653">
            <v>260</v>
          </cell>
          <cell r="H653" t="str">
            <v/>
          </cell>
          <cell r="I653" t="str">
            <v/>
          </cell>
        </row>
        <row r="654">
          <cell r="B654" t="str">
            <v>لو ديسي ايسي مياكي -رجالي</v>
          </cell>
          <cell r="C654" t="str">
            <v>إدخال</v>
          </cell>
          <cell r="G654">
            <v>453</v>
          </cell>
          <cell r="H654">
            <v>6</v>
          </cell>
          <cell r="I654">
            <v>6</v>
          </cell>
        </row>
        <row r="655">
          <cell r="B655" t="str">
            <v>روشاز مان - رجالي</v>
          </cell>
          <cell r="C655" t="str">
            <v>إدخال</v>
          </cell>
          <cell r="G655">
            <v>241</v>
          </cell>
          <cell r="H655" t="str">
            <v/>
          </cell>
          <cell r="I655" t="str">
            <v/>
          </cell>
        </row>
        <row r="656">
          <cell r="B656" t="str">
            <v>لومال بورهوم - رجالي</v>
          </cell>
          <cell r="C656" t="str">
            <v>إدخال</v>
          </cell>
          <cell r="G656">
            <v>369</v>
          </cell>
          <cell r="H656">
            <v>2</v>
          </cell>
          <cell r="I656">
            <v>5</v>
          </cell>
        </row>
        <row r="657">
          <cell r="B657" t="str">
            <v>ريد جينز فيرساتشي - نسائي</v>
          </cell>
          <cell r="C657" t="str">
            <v>إدخال</v>
          </cell>
          <cell r="G657">
            <v>156</v>
          </cell>
          <cell r="H657" t="str">
            <v/>
          </cell>
          <cell r="I657" t="str">
            <v/>
          </cell>
        </row>
        <row r="658">
          <cell r="B658" t="str">
            <v>باشا دي كارتير - رجالي</v>
          </cell>
          <cell r="C658" t="str">
            <v>إدخال</v>
          </cell>
          <cell r="G658">
            <v>148</v>
          </cell>
          <cell r="H658">
            <v>2</v>
          </cell>
          <cell r="I658">
            <v>4</v>
          </cell>
        </row>
        <row r="659">
          <cell r="B659" t="str">
            <v>بلو جينز فرزاتشي - رجالي</v>
          </cell>
          <cell r="C659" t="str">
            <v>إدخال</v>
          </cell>
          <cell r="G659">
            <v>162</v>
          </cell>
          <cell r="H659" t="str">
            <v/>
          </cell>
          <cell r="I659" t="str">
            <v/>
          </cell>
        </row>
        <row r="660">
          <cell r="B660" t="str">
            <v>سنو مان - سكلبيتشر - رجالي</v>
          </cell>
          <cell r="C660" t="str">
            <v>إدخال</v>
          </cell>
          <cell r="G660">
            <v>392</v>
          </cell>
          <cell r="H660">
            <v>2</v>
          </cell>
          <cell r="I660">
            <v>5</v>
          </cell>
        </row>
        <row r="661">
          <cell r="B661" t="str">
            <v>بلاك كود -جورجيو ارماني - رجالي</v>
          </cell>
          <cell r="C661" t="str">
            <v>إدخال</v>
          </cell>
          <cell r="G661">
            <v>307</v>
          </cell>
          <cell r="H661" t="str">
            <v/>
          </cell>
          <cell r="I661" t="str">
            <v/>
          </cell>
        </row>
        <row r="662">
          <cell r="B662" t="str">
            <v>جيفينشي بور اوم  الأحمر - رجالي</v>
          </cell>
          <cell r="C662" t="str">
            <v>إدخال</v>
          </cell>
          <cell r="G662">
            <v>99</v>
          </cell>
          <cell r="H662" t="str">
            <v/>
          </cell>
          <cell r="I662" t="str">
            <v/>
          </cell>
        </row>
        <row r="663">
          <cell r="B663" t="str">
            <v>بريميير - همر - رجالي</v>
          </cell>
          <cell r="C663" t="str">
            <v>إدخال</v>
          </cell>
          <cell r="G663">
            <v>402</v>
          </cell>
          <cell r="H663">
            <v>1</v>
          </cell>
          <cell r="I663">
            <v>1</v>
          </cell>
        </row>
        <row r="664">
          <cell r="B664" t="str">
            <v>ايفوريا كالفين كلاين - رجالي</v>
          </cell>
          <cell r="C664" t="str">
            <v>إدخال</v>
          </cell>
          <cell r="G664">
            <v>126</v>
          </cell>
          <cell r="H664" t="str">
            <v/>
          </cell>
          <cell r="I664" t="str">
            <v/>
          </cell>
        </row>
        <row r="665">
          <cell r="B665" t="str">
            <v>ذا ون دولتشي اند غابانا - رجالي</v>
          </cell>
          <cell r="C665" t="str">
            <v>إدخال</v>
          </cell>
          <cell r="G665">
            <v>260</v>
          </cell>
          <cell r="H665" t="str">
            <v/>
          </cell>
          <cell r="I665" t="str">
            <v/>
          </cell>
        </row>
        <row r="666">
          <cell r="B666" t="str">
            <v>فوياج  اراميس - رجالي</v>
          </cell>
          <cell r="C666" t="str">
            <v>إدخال</v>
          </cell>
          <cell r="G666">
            <v>522</v>
          </cell>
          <cell r="H666">
            <v>3</v>
          </cell>
          <cell r="I666">
            <v>2</v>
          </cell>
        </row>
        <row r="667">
          <cell r="B667" t="str">
            <v xml:space="preserve">لوكس - للجنسين </v>
          </cell>
          <cell r="C667" t="str">
            <v>إدخال</v>
          </cell>
          <cell r="G667">
            <v>249</v>
          </cell>
          <cell r="H667">
            <v>6</v>
          </cell>
          <cell r="I667">
            <v>4</v>
          </cell>
        </row>
        <row r="668">
          <cell r="B668" t="str">
            <v>بخور العرائس ارض الزعفران -للجنسين</v>
          </cell>
          <cell r="C668" t="str">
            <v>إدخال</v>
          </cell>
          <cell r="G668">
            <v>248</v>
          </cell>
          <cell r="H668">
            <v>5</v>
          </cell>
          <cell r="I668">
            <v>1</v>
          </cell>
        </row>
        <row r="669">
          <cell r="B669" t="str">
            <v>دوف -  للجنسين</v>
          </cell>
          <cell r="C669" t="str">
            <v>إدخال</v>
          </cell>
          <cell r="G669">
            <v>484</v>
          </cell>
          <cell r="H669">
            <v>6</v>
          </cell>
          <cell r="I669">
            <v>5</v>
          </cell>
        </row>
        <row r="670">
          <cell r="B670" t="str">
            <v xml:space="preserve">زهرة التوليب - للجنسين </v>
          </cell>
          <cell r="C670" t="str">
            <v>إدخال</v>
          </cell>
          <cell r="G670">
            <v>267</v>
          </cell>
          <cell r="H670">
            <v>6</v>
          </cell>
          <cell r="I670">
            <v>2</v>
          </cell>
        </row>
        <row r="671">
          <cell r="B671" t="str">
            <v>زهرة الزيزفون - للجنسين</v>
          </cell>
          <cell r="C671" t="str">
            <v>إدخال</v>
          </cell>
          <cell r="G671">
            <v>308</v>
          </cell>
          <cell r="H671" t="str">
            <v/>
          </cell>
          <cell r="I671" t="str">
            <v/>
          </cell>
        </row>
        <row r="672">
          <cell r="B672" t="str">
            <v>ملبس - كارون - مسكلود -للجنسين</v>
          </cell>
          <cell r="C672" t="str">
            <v>إدخال</v>
          </cell>
          <cell r="G672">
            <v>471</v>
          </cell>
          <cell r="H672">
            <v>6</v>
          </cell>
          <cell r="I672">
            <v>2</v>
          </cell>
        </row>
        <row r="673">
          <cell r="B673" t="str">
            <v>هامول - للجنسين</v>
          </cell>
          <cell r="C673" t="str">
            <v>إدخال</v>
          </cell>
          <cell r="G673">
            <v>284</v>
          </cell>
          <cell r="H673">
            <v>4</v>
          </cell>
          <cell r="I673">
            <v>1</v>
          </cell>
        </row>
        <row r="674">
          <cell r="B674" t="str">
            <v>بونسوار - نسائي</v>
          </cell>
          <cell r="C674" t="str">
            <v>إدخال</v>
          </cell>
          <cell r="G674">
            <v>247</v>
          </cell>
          <cell r="H674" t="str">
            <v/>
          </cell>
          <cell r="I674" t="str">
            <v/>
          </cell>
        </row>
        <row r="675">
          <cell r="B675" t="str">
            <v xml:space="preserve">ليمون - للجنسين </v>
          </cell>
          <cell r="C675" t="str">
            <v>إدخال</v>
          </cell>
          <cell r="G675">
            <v>284</v>
          </cell>
          <cell r="H675">
            <v>6</v>
          </cell>
          <cell r="I675">
            <v>2</v>
          </cell>
        </row>
        <row r="676">
          <cell r="B676" t="str">
            <v>جونسون - للجنسين</v>
          </cell>
          <cell r="C676" t="str">
            <v>إدخال</v>
          </cell>
          <cell r="G676">
            <v>183</v>
          </cell>
          <cell r="H676" t="str">
            <v/>
          </cell>
          <cell r="I676" t="str">
            <v/>
          </cell>
        </row>
        <row r="677">
          <cell r="B677" t="str">
            <v xml:space="preserve">زهرة الياسمين - للجنسين </v>
          </cell>
          <cell r="C677" t="str">
            <v>إدخال</v>
          </cell>
          <cell r="G677">
            <v>293</v>
          </cell>
          <cell r="H677" t="str">
            <v/>
          </cell>
          <cell r="I677" t="str">
            <v/>
          </cell>
        </row>
        <row r="678">
          <cell r="B678" t="str">
            <v>نيود - نسائي</v>
          </cell>
          <cell r="C678" t="str">
            <v>إدخال</v>
          </cell>
          <cell r="G678">
            <v>306</v>
          </cell>
          <cell r="H678">
            <v>4</v>
          </cell>
          <cell r="I678">
            <v>4</v>
          </cell>
        </row>
        <row r="679">
          <cell r="B679" t="str">
            <v>بروت  -رجالي</v>
          </cell>
          <cell r="C679" t="str">
            <v>إدخال</v>
          </cell>
          <cell r="G679">
            <v>138</v>
          </cell>
          <cell r="H679">
            <v>3</v>
          </cell>
          <cell r="I679">
            <v>2</v>
          </cell>
        </row>
        <row r="680">
          <cell r="B680" t="str">
            <v>زهرة الزنبق - للجنسين</v>
          </cell>
          <cell r="C680" t="str">
            <v>إدخال</v>
          </cell>
          <cell r="G680">
            <v>269</v>
          </cell>
          <cell r="H680" t="str">
            <v/>
          </cell>
          <cell r="I680" t="str">
            <v/>
          </cell>
        </row>
        <row r="681">
          <cell r="B681" t="str">
            <v xml:space="preserve">لايت شوكلت - شوكولا - للجنسين </v>
          </cell>
          <cell r="C681" t="str">
            <v>إدخال</v>
          </cell>
          <cell r="G681">
            <v>596</v>
          </cell>
          <cell r="H681">
            <v>6</v>
          </cell>
          <cell r="I681">
            <v>5</v>
          </cell>
        </row>
        <row r="682">
          <cell r="B682" t="str">
            <v xml:space="preserve">زهرة الفل - للجنسين </v>
          </cell>
          <cell r="C682" t="str">
            <v>إدخال</v>
          </cell>
          <cell r="G682">
            <v>515</v>
          </cell>
          <cell r="H682" t="str">
            <v/>
          </cell>
          <cell r="I682" t="str">
            <v/>
          </cell>
        </row>
        <row r="683">
          <cell r="B683" t="str">
            <v xml:space="preserve">فا - للجنسين </v>
          </cell>
          <cell r="C683" t="str">
            <v>إدخال</v>
          </cell>
          <cell r="G683">
            <v>300</v>
          </cell>
          <cell r="H683">
            <v>6</v>
          </cell>
          <cell r="I683">
            <v>4</v>
          </cell>
        </row>
        <row r="684">
          <cell r="B684" t="str">
            <v>هيدن شولدرز- للجنسين</v>
          </cell>
          <cell r="C684" t="str">
            <v>إدخال</v>
          </cell>
          <cell r="G684">
            <v>305</v>
          </cell>
          <cell r="H684" t="str">
            <v>مختوم ومسك</v>
          </cell>
          <cell r="I684" t="str">
            <v>-</v>
          </cell>
        </row>
        <row r="685">
          <cell r="B685" t="str">
            <v>زهرة ليلك - للجنسين</v>
          </cell>
          <cell r="C685" t="str">
            <v>إدخال</v>
          </cell>
          <cell r="G685">
            <v>300</v>
          </cell>
          <cell r="H685" t="str">
            <v>مختوم ومسك</v>
          </cell>
          <cell r="I685" t="str">
            <v>-</v>
          </cell>
        </row>
        <row r="686">
          <cell r="B686" t="str">
            <v>نيفيا كريم - للجنسين</v>
          </cell>
          <cell r="C686" t="str">
            <v>إدخال</v>
          </cell>
          <cell r="G686">
            <v>304</v>
          </cell>
          <cell r="H686" t="str">
            <v>مختوم ومسك</v>
          </cell>
          <cell r="I686" t="str">
            <v>-</v>
          </cell>
        </row>
        <row r="687">
          <cell r="B687" t="str">
            <v>بتلد بوس - رجالي</v>
          </cell>
          <cell r="C687" t="str">
            <v>إدخال</v>
          </cell>
          <cell r="G687">
            <v>525</v>
          </cell>
          <cell r="H687">
            <v>2</v>
          </cell>
          <cell r="I687">
            <v>2</v>
          </cell>
        </row>
        <row r="688">
          <cell r="B688" t="str">
            <v>باريس Y.S.L - نسائي</v>
          </cell>
          <cell r="C688" t="str">
            <v>إدخال</v>
          </cell>
          <cell r="G688">
            <v>695</v>
          </cell>
          <cell r="H688" t="str">
            <v/>
          </cell>
          <cell r="I688" t="str">
            <v/>
          </cell>
        </row>
        <row r="689">
          <cell r="B689" t="str">
            <v xml:space="preserve">غولدين داست -غبار الذهب - فانيل - للجنسين </v>
          </cell>
          <cell r="C689" t="str">
            <v>إدخال</v>
          </cell>
          <cell r="G689">
            <v>838</v>
          </cell>
          <cell r="H689">
            <v>6</v>
          </cell>
          <cell r="I689">
            <v>6</v>
          </cell>
        </row>
        <row r="690">
          <cell r="B690" t="str">
            <v>تفاح - للجنسين</v>
          </cell>
          <cell r="C690" t="str">
            <v>إدخال</v>
          </cell>
          <cell r="G690">
            <v>320</v>
          </cell>
          <cell r="H690" t="str">
            <v>مختوم ومسك</v>
          </cell>
          <cell r="I690" t="str">
            <v>-</v>
          </cell>
        </row>
        <row r="691">
          <cell r="B691" t="str">
            <v>باريس هيلتون - رجالي</v>
          </cell>
          <cell r="C691" t="str">
            <v>إدخال</v>
          </cell>
          <cell r="G691">
            <v>336</v>
          </cell>
          <cell r="H691" t="str">
            <v/>
          </cell>
          <cell r="I691" t="str">
            <v/>
          </cell>
        </row>
        <row r="692">
          <cell r="B692" t="str">
            <v>عود غوتشي - للجنسين</v>
          </cell>
          <cell r="C692" t="str">
            <v>إدخال</v>
          </cell>
          <cell r="G692">
            <v>562</v>
          </cell>
          <cell r="H692">
            <v>2</v>
          </cell>
          <cell r="I692">
            <v>3</v>
          </cell>
        </row>
        <row r="693">
          <cell r="B693" t="str">
            <v>توسكان لذر توم فورد - للجنسين</v>
          </cell>
          <cell r="C693" t="str">
            <v>إدخال</v>
          </cell>
          <cell r="G693">
            <v>655</v>
          </cell>
          <cell r="H693">
            <v>2</v>
          </cell>
          <cell r="I693">
            <v>1</v>
          </cell>
        </row>
        <row r="694">
          <cell r="B694" t="str">
            <v xml:space="preserve">زهرة لافندر - للجنسين </v>
          </cell>
          <cell r="C694" t="str">
            <v>إدخال</v>
          </cell>
          <cell r="G694">
            <v>722</v>
          </cell>
          <cell r="H694" t="str">
            <v>مختوم ومسك</v>
          </cell>
          <cell r="I694" t="str">
            <v>-</v>
          </cell>
        </row>
        <row r="695">
          <cell r="B695" t="str">
            <v>زهرة البنفسج -للجنسين</v>
          </cell>
          <cell r="C695" t="str">
            <v>إدخال</v>
          </cell>
          <cell r="G695">
            <v>315</v>
          </cell>
          <cell r="H695" t="str">
            <v>مختوم ومسك</v>
          </cell>
          <cell r="I695" t="str">
            <v>-</v>
          </cell>
        </row>
        <row r="696">
          <cell r="B696" t="str">
            <v>توباكو كولور كريستيان ديور - للجنسين</v>
          </cell>
          <cell r="C696" t="str">
            <v>إدخال</v>
          </cell>
          <cell r="G696">
            <v>681</v>
          </cell>
          <cell r="H696" t="str">
            <v/>
          </cell>
          <cell r="I696" t="str">
            <v/>
          </cell>
        </row>
        <row r="697">
          <cell r="B697" t="str">
            <v>بربل ليبل USA -رجالي</v>
          </cell>
          <cell r="C697" t="str">
            <v>إدخال</v>
          </cell>
          <cell r="G697">
            <v>171</v>
          </cell>
          <cell r="H697">
            <v>2</v>
          </cell>
          <cell r="I697">
            <v>4</v>
          </cell>
        </row>
        <row r="698">
          <cell r="B698" t="str">
            <v>مون باريس Y.S.L - نسائي</v>
          </cell>
          <cell r="C698" t="str">
            <v>إدخال</v>
          </cell>
          <cell r="G698">
            <v>330</v>
          </cell>
          <cell r="H698">
            <v>4</v>
          </cell>
          <cell r="I698">
            <v>3</v>
          </cell>
        </row>
        <row r="699">
          <cell r="B699" t="str">
            <v>دراق - رجالي</v>
          </cell>
          <cell r="C699" t="str">
            <v>إدخال</v>
          </cell>
          <cell r="G699">
            <v>300</v>
          </cell>
          <cell r="H699" t="str">
            <v/>
          </cell>
          <cell r="I699" t="str">
            <v/>
          </cell>
        </row>
        <row r="700">
          <cell r="B700" t="str">
            <v>شمام - للجنسين</v>
          </cell>
          <cell r="C700" t="str">
            <v>إدخال</v>
          </cell>
          <cell r="G700">
            <v>306</v>
          </cell>
          <cell r="H700" t="str">
            <v/>
          </cell>
          <cell r="I700" t="str">
            <v/>
          </cell>
        </row>
        <row r="701">
          <cell r="B701" t="str">
            <v xml:space="preserve">مسك طهارة إبراهيم القرشي - للجنسين </v>
          </cell>
          <cell r="C701" t="str">
            <v>إدخال</v>
          </cell>
          <cell r="G701">
            <v>150</v>
          </cell>
          <cell r="H701" t="str">
            <v>مختوم ومسك</v>
          </cell>
          <cell r="I701" t="str">
            <v>-</v>
          </cell>
        </row>
        <row r="702">
          <cell r="B702" t="str">
            <v xml:space="preserve">مسك باودر إبراهيم القرشي - للجنسين </v>
          </cell>
          <cell r="C702" t="str">
            <v>إدخال</v>
          </cell>
          <cell r="G702">
            <v>283</v>
          </cell>
          <cell r="H702" t="str">
            <v>مختوم ومسك</v>
          </cell>
          <cell r="I702" t="str">
            <v>-</v>
          </cell>
        </row>
        <row r="703">
          <cell r="B703" t="str">
            <v>انفكتوس باكورابان - رجالي</v>
          </cell>
          <cell r="C703" t="str">
            <v>إدخال</v>
          </cell>
          <cell r="G703">
            <v>60</v>
          </cell>
          <cell r="H703">
            <v>3</v>
          </cell>
          <cell r="I703">
            <v>5</v>
          </cell>
        </row>
        <row r="704">
          <cell r="B704" t="str">
            <v>جامب جوب - رجالي</v>
          </cell>
          <cell r="C704" t="str">
            <v>إدخال</v>
          </cell>
          <cell r="G704">
            <v>230</v>
          </cell>
          <cell r="H704" t="str">
            <v/>
          </cell>
          <cell r="I704" t="str">
            <v/>
          </cell>
        </row>
        <row r="705">
          <cell r="B705" t="str">
            <v>سكيب - رجالي</v>
          </cell>
          <cell r="C705" t="str">
            <v>إدخال</v>
          </cell>
          <cell r="G705">
            <v>230</v>
          </cell>
          <cell r="H705" t="str">
            <v/>
          </cell>
          <cell r="I705" t="str">
            <v/>
          </cell>
        </row>
        <row r="706">
          <cell r="B706" t="str">
            <v>انفكتوس فيكتوري باكورابان - رجالي</v>
          </cell>
          <cell r="C706" t="str">
            <v>إدخال</v>
          </cell>
          <cell r="G706">
            <v>180</v>
          </cell>
          <cell r="H706" t="str">
            <v/>
          </cell>
          <cell r="I706" t="str">
            <v/>
          </cell>
        </row>
        <row r="707">
          <cell r="B707" t="str">
            <v xml:space="preserve">مسك توت إبراهيم القرشي - للجنسين </v>
          </cell>
          <cell r="C707" t="str">
            <v>إدخال</v>
          </cell>
          <cell r="G707">
            <v>230</v>
          </cell>
          <cell r="H707" t="str">
            <v>مختوم ومسك</v>
          </cell>
          <cell r="I707" t="str">
            <v>-</v>
          </cell>
        </row>
        <row r="708">
          <cell r="B708" t="str">
            <v>يس أيام كشريل - نسائي</v>
          </cell>
          <cell r="C708" t="str">
            <v>إدخال</v>
          </cell>
          <cell r="G708">
            <v>205</v>
          </cell>
          <cell r="H708">
            <v>4</v>
          </cell>
          <cell r="I708">
            <v>5</v>
          </cell>
        </row>
        <row r="709">
          <cell r="B709" t="str">
            <v>مدام جامبول غوتيه - نسائي</v>
          </cell>
          <cell r="C709" t="str">
            <v>إدخال</v>
          </cell>
          <cell r="G709">
            <v>288</v>
          </cell>
          <cell r="H709">
            <v>4</v>
          </cell>
          <cell r="I709">
            <v>3</v>
          </cell>
        </row>
        <row r="710">
          <cell r="B710" t="str">
            <v>ميراكل بورفام لانكوم - نسائي</v>
          </cell>
          <cell r="C710" t="str">
            <v>إدخال</v>
          </cell>
          <cell r="G710">
            <v>197</v>
          </cell>
          <cell r="H710" t="str">
            <v/>
          </cell>
          <cell r="I710" t="str">
            <v/>
          </cell>
        </row>
        <row r="711">
          <cell r="B711" t="str">
            <v>لاف ستوري كلويه - نسائي</v>
          </cell>
          <cell r="C711" t="str">
            <v>إدخال</v>
          </cell>
          <cell r="G711">
            <v>277</v>
          </cell>
          <cell r="H711" t="str">
            <v/>
          </cell>
          <cell r="I711" t="str">
            <v/>
          </cell>
        </row>
        <row r="712">
          <cell r="B712" t="str">
            <v>نينا شيروتي 1881 - نسائي</v>
          </cell>
          <cell r="C712" t="str">
            <v>إدخال</v>
          </cell>
          <cell r="G712">
            <v>77</v>
          </cell>
          <cell r="H712" t="str">
            <v/>
          </cell>
          <cell r="I712" t="str">
            <v/>
          </cell>
        </row>
        <row r="713">
          <cell r="B713" t="str">
            <v>ليدي روز لافيرن -  نسائي</v>
          </cell>
          <cell r="C713" t="str">
            <v>إدخال</v>
          </cell>
          <cell r="G713">
            <v>158</v>
          </cell>
          <cell r="H713" t="str">
            <v/>
          </cell>
          <cell r="I713" t="str">
            <v/>
          </cell>
        </row>
        <row r="714">
          <cell r="B714" t="str">
            <v xml:space="preserve">فانتازيا بريتني سبيرس - للجنسين </v>
          </cell>
          <cell r="C714" t="str">
            <v>إدخال</v>
          </cell>
          <cell r="G714">
            <v>478</v>
          </cell>
          <cell r="H714">
            <v>4</v>
          </cell>
          <cell r="I714">
            <v>5</v>
          </cell>
        </row>
        <row r="715">
          <cell r="B715" t="str">
            <v>اونلي ذا ون دولتشي اند غابانا - نسائي</v>
          </cell>
          <cell r="C715" t="str">
            <v>إدخال</v>
          </cell>
          <cell r="G715">
            <v>179</v>
          </cell>
          <cell r="H715" t="str">
            <v/>
          </cell>
          <cell r="I715" t="str">
            <v/>
          </cell>
        </row>
        <row r="716">
          <cell r="B716" t="str">
            <v>بلاك اكس اس باكورابان - نسائي</v>
          </cell>
          <cell r="C716" t="str">
            <v>إدخال</v>
          </cell>
          <cell r="G716">
            <v>571</v>
          </cell>
          <cell r="H716" t="str">
            <v/>
          </cell>
          <cell r="I716" t="str">
            <v/>
          </cell>
        </row>
        <row r="717">
          <cell r="B717" t="str">
            <v>روبيرتو كافالي - نسائي</v>
          </cell>
          <cell r="C717" t="str">
            <v>إدخال</v>
          </cell>
          <cell r="G717">
            <v>390</v>
          </cell>
          <cell r="H717" t="str">
            <v/>
          </cell>
          <cell r="I717" t="str">
            <v/>
          </cell>
        </row>
        <row r="718">
          <cell r="B718" t="str">
            <v>عود ملكي - تشوبارد - للجنسين</v>
          </cell>
          <cell r="C718" t="str">
            <v>إدخال</v>
          </cell>
          <cell r="G718">
            <v>150</v>
          </cell>
          <cell r="H718" t="str">
            <v/>
          </cell>
          <cell r="I718" t="str">
            <v/>
          </cell>
        </row>
        <row r="719">
          <cell r="B719" t="str">
            <v>تريزور لانكوم - نسائي</v>
          </cell>
          <cell r="C719" t="str">
            <v>إدخال</v>
          </cell>
          <cell r="G719">
            <v>333</v>
          </cell>
          <cell r="H719" t="str">
            <v/>
          </cell>
          <cell r="I719" t="str">
            <v/>
          </cell>
        </row>
        <row r="720">
          <cell r="B720" t="str">
            <v xml:space="preserve">مون سباركل سكادة - نسائي </v>
          </cell>
          <cell r="C720" t="str">
            <v>إدخال</v>
          </cell>
          <cell r="G720">
            <v>485</v>
          </cell>
          <cell r="H720">
            <v>5</v>
          </cell>
          <cell r="I720">
            <v>3</v>
          </cell>
        </row>
        <row r="721">
          <cell r="B721" t="str">
            <v>رالف رولين - روج - نسائي</v>
          </cell>
          <cell r="C721" t="str">
            <v>إدخال</v>
          </cell>
          <cell r="G721">
            <v>496</v>
          </cell>
          <cell r="H721">
            <v>5</v>
          </cell>
          <cell r="I721">
            <v>6</v>
          </cell>
        </row>
        <row r="722">
          <cell r="B722" t="str">
            <v>بودي بربري -نسائي</v>
          </cell>
          <cell r="C722" t="str">
            <v>إدخال</v>
          </cell>
          <cell r="G722">
            <v>655</v>
          </cell>
          <cell r="H722">
            <v>5</v>
          </cell>
          <cell r="I722">
            <v>2</v>
          </cell>
        </row>
        <row r="723">
          <cell r="B723" t="str">
            <v>بيكوز اتس يو امبريو ارماني - نسائي</v>
          </cell>
          <cell r="C723" t="str">
            <v>إدخال</v>
          </cell>
          <cell r="G723">
            <v>305</v>
          </cell>
          <cell r="H723">
            <v>4</v>
          </cell>
          <cell r="I723">
            <v>3</v>
          </cell>
        </row>
        <row r="724">
          <cell r="B724" t="str">
            <v>جوي فل سكادة - نسائي</v>
          </cell>
          <cell r="C724" t="str">
            <v>إدخال</v>
          </cell>
          <cell r="G724">
            <v>167</v>
          </cell>
          <cell r="H724">
            <v>6</v>
          </cell>
          <cell r="I724">
            <v>1</v>
          </cell>
        </row>
        <row r="725">
          <cell r="B725" t="str">
            <v>هوت كوتور جيفينشي - نسائي</v>
          </cell>
          <cell r="C725" t="str">
            <v>إدخال</v>
          </cell>
          <cell r="G725">
            <v>149</v>
          </cell>
          <cell r="H725" t="str">
            <v/>
          </cell>
          <cell r="I725" t="str">
            <v/>
          </cell>
        </row>
        <row r="726">
          <cell r="B726" t="str">
            <v>ريتشي ريتشي - نسائي</v>
          </cell>
          <cell r="C726" t="str">
            <v>إدخال</v>
          </cell>
          <cell r="G726">
            <v>341</v>
          </cell>
          <cell r="H726" t="str">
            <v/>
          </cell>
          <cell r="I726" t="str">
            <v/>
          </cell>
        </row>
        <row r="727">
          <cell r="B727" t="str">
            <v>كابوتين - ماغانوليا - نسائي</v>
          </cell>
          <cell r="C727" t="str">
            <v>إدخال</v>
          </cell>
          <cell r="G727">
            <v>668</v>
          </cell>
          <cell r="H727" t="str">
            <v/>
          </cell>
          <cell r="I727" t="str">
            <v/>
          </cell>
        </row>
        <row r="728">
          <cell r="B728" t="str">
            <v>كوكو شانيل - مادموزيل - نسائي</v>
          </cell>
          <cell r="C728" t="str">
            <v>إدخال</v>
          </cell>
          <cell r="G728">
            <v>503</v>
          </cell>
          <cell r="H728" t="str">
            <v/>
          </cell>
          <cell r="I728" t="str">
            <v/>
          </cell>
        </row>
        <row r="729">
          <cell r="B729" t="str">
            <v>كريستال نوار فرزاتشي - نسائي</v>
          </cell>
          <cell r="C729" t="str">
            <v>إدخال</v>
          </cell>
          <cell r="G729">
            <v>382</v>
          </cell>
          <cell r="H729" t="str">
            <v/>
          </cell>
          <cell r="I729" t="str">
            <v/>
          </cell>
        </row>
        <row r="730">
          <cell r="B730" t="str">
            <v>نينا ريتشي - نسائي</v>
          </cell>
          <cell r="C730" t="str">
            <v>إدخال</v>
          </cell>
          <cell r="G730">
            <v>278</v>
          </cell>
          <cell r="H730" t="str">
            <v/>
          </cell>
          <cell r="I730" t="str">
            <v/>
          </cell>
        </row>
        <row r="731">
          <cell r="B731" t="str">
            <v>هيبنوس لانكوم - نسائي</v>
          </cell>
          <cell r="C731" t="str">
            <v>إدخال</v>
          </cell>
          <cell r="G731">
            <v>190</v>
          </cell>
          <cell r="H731" t="str">
            <v/>
          </cell>
          <cell r="I731" t="str">
            <v/>
          </cell>
        </row>
        <row r="732">
          <cell r="B732" t="str">
            <v>اولومبيا - باكورابان - نسائي</v>
          </cell>
          <cell r="C732" t="str">
            <v>إدخال</v>
          </cell>
          <cell r="G732">
            <v>284</v>
          </cell>
          <cell r="H732" t="str">
            <v/>
          </cell>
          <cell r="I732" t="str">
            <v/>
          </cell>
        </row>
        <row r="733">
          <cell r="B733" t="str">
            <v>فلانتينو بورن ان روما - نسائي</v>
          </cell>
          <cell r="C733" t="str">
            <v>إدخال</v>
          </cell>
          <cell r="G733">
            <v>296</v>
          </cell>
          <cell r="H733">
            <v>4</v>
          </cell>
          <cell r="I733">
            <v>4</v>
          </cell>
        </row>
        <row r="734">
          <cell r="B734" t="str">
            <v>بلوم غوتشي - نسائي</v>
          </cell>
          <cell r="C734" t="str">
            <v>إدخال</v>
          </cell>
          <cell r="G734">
            <v>190</v>
          </cell>
          <cell r="H734" t="str">
            <v/>
          </cell>
          <cell r="I734" t="str">
            <v/>
          </cell>
        </row>
        <row r="735">
          <cell r="B735" t="str">
            <v>مانفستو Y.S.L -نسائي</v>
          </cell>
          <cell r="C735" t="str">
            <v>إدخال</v>
          </cell>
          <cell r="G735">
            <v>272</v>
          </cell>
          <cell r="H735" t="str">
            <v/>
          </cell>
          <cell r="I735" t="str">
            <v/>
          </cell>
        </row>
        <row r="736">
          <cell r="B736" t="str">
            <v>سبيشلي سكادة - نسائي</v>
          </cell>
          <cell r="C736" t="str">
            <v>إدخال</v>
          </cell>
          <cell r="G736">
            <v>360</v>
          </cell>
          <cell r="H736" t="str">
            <v/>
          </cell>
          <cell r="I736" t="str">
            <v/>
          </cell>
        </row>
        <row r="737">
          <cell r="B737" t="str">
            <v>ماي بربري - نسائي</v>
          </cell>
          <cell r="C737" t="str">
            <v>إدخال</v>
          </cell>
          <cell r="G737">
            <v>239</v>
          </cell>
          <cell r="H737" t="str">
            <v/>
          </cell>
          <cell r="I737" t="str">
            <v/>
          </cell>
        </row>
        <row r="738">
          <cell r="B738" t="str">
            <v>ميري مي لانفين - نسائي</v>
          </cell>
          <cell r="C738" t="str">
            <v>إدخال</v>
          </cell>
          <cell r="G738">
            <v>590</v>
          </cell>
          <cell r="H738" t="str">
            <v/>
          </cell>
          <cell r="I738" t="str">
            <v/>
          </cell>
        </row>
        <row r="739">
          <cell r="B739" t="str">
            <v>ميدنايت روز لانكوم - نسائي</v>
          </cell>
          <cell r="C739" t="str">
            <v>إدخال</v>
          </cell>
          <cell r="G739">
            <v>397</v>
          </cell>
          <cell r="H739">
            <v>5</v>
          </cell>
          <cell r="I739">
            <v>4</v>
          </cell>
        </row>
        <row r="740">
          <cell r="B740" t="str">
            <v>بي ديليشيز ديكني - نسائي</v>
          </cell>
          <cell r="C740" t="str">
            <v>إدخال</v>
          </cell>
          <cell r="G740">
            <v>256</v>
          </cell>
          <cell r="H740" t="str">
            <v/>
          </cell>
          <cell r="I740" t="str">
            <v/>
          </cell>
        </row>
        <row r="741">
          <cell r="B741" t="str">
            <v>لانوي تريزور لانكوم - نسائي</v>
          </cell>
          <cell r="C741" t="str">
            <v>إدخال</v>
          </cell>
          <cell r="G741">
            <v>333</v>
          </cell>
          <cell r="H741" t="str">
            <v/>
          </cell>
          <cell r="I741" t="str">
            <v/>
          </cell>
        </row>
        <row r="742">
          <cell r="B742" t="str">
            <v>بوازون - كوبرا - نسائي</v>
          </cell>
          <cell r="C742" t="str">
            <v>إدخال</v>
          </cell>
          <cell r="G742">
            <v>328</v>
          </cell>
          <cell r="H742" t="str">
            <v/>
          </cell>
          <cell r="I742" t="str">
            <v/>
          </cell>
        </row>
        <row r="743">
          <cell r="B743" t="str">
            <v>شانيل 5 - نسائي</v>
          </cell>
          <cell r="C743" t="str">
            <v>إدخال</v>
          </cell>
          <cell r="G743">
            <v>124</v>
          </cell>
          <cell r="H743">
            <v>4</v>
          </cell>
          <cell r="I743">
            <v>2</v>
          </cell>
        </row>
        <row r="744">
          <cell r="B744" t="str">
            <v>سي جورجيو ارماني - نسائي</v>
          </cell>
          <cell r="C744" t="str">
            <v>إدخال</v>
          </cell>
          <cell r="G744">
            <v>273</v>
          </cell>
          <cell r="H744">
            <v>5</v>
          </cell>
          <cell r="I744">
            <v>6</v>
          </cell>
        </row>
        <row r="745">
          <cell r="B745" t="str">
            <v>سنشوال جوهان بي - نسائي</v>
          </cell>
          <cell r="C745" t="str">
            <v>إدخال</v>
          </cell>
          <cell r="G745">
            <v>302</v>
          </cell>
          <cell r="H745">
            <v>5</v>
          </cell>
          <cell r="I745">
            <v>3</v>
          </cell>
        </row>
        <row r="746">
          <cell r="B746" t="str">
            <v>بربريس - نسائي</v>
          </cell>
          <cell r="C746" t="str">
            <v>إدخال</v>
          </cell>
          <cell r="G746">
            <v>608</v>
          </cell>
          <cell r="H746" t="str">
            <v/>
          </cell>
          <cell r="I746" t="str">
            <v/>
          </cell>
        </row>
        <row r="747">
          <cell r="B747" t="str">
            <v>مس ديور  شيري كريستيان ديور - نسائي</v>
          </cell>
          <cell r="C747" t="str">
            <v>إدخال</v>
          </cell>
          <cell r="G747">
            <v>373</v>
          </cell>
          <cell r="H747">
            <v>4</v>
          </cell>
          <cell r="I747">
            <v>5</v>
          </cell>
        </row>
        <row r="748">
          <cell r="B748" t="str">
            <v>ايلي صعب - نسائي</v>
          </cell>
          <cell r="C748" t="str">
            <v>إدخال</v>
          </cell>
          <cell r="G748">
            <v>358</v>
          </cell>
          <cell r="H748">
            <v>6</v>
          </cell>
          <cell r="I748">
            <v>4</v>
          </cell>
        </row>
        <row r="749">
          <cell r="B749" t="str">
            <v>تاتش اوف بينك لاكوست - نسائي</v>
          </cell>
          <cell r="C749" t="str">
            <v>إدخال</v>
          </cell>
          <cell r="G749">
            <v>227</v>
          </cell>
          <cell r="H749">
            <v>5</v>
          </cell>
          <cell r="I749">
            <v>5</v>
          </cell>
        </row>
        <row r="750">
          <cell r="B750" t="str">
            <v>شانص شانيل - نسائي</v>
          </cell>
          <cell r="C750" t="str">
            <v>إدخال</v>
          </cell>
          <cell r="G750">
            <v>285</v>
          </cell>
          <cell r="H750">
            <v>5</v>
          </cell>
          <cell r="I750">
            <v>2</v>
          </cell>
        </row>
        <row r="751">
          <cell r="B751" t="str">
            <v>كول ووتر دافيدوف -نسائي</v>
          </cell>
          <cell r="C751" t="str">
            <v>إدخال</v>
          </cell>
          <cell r="G751">
            <v>369</v>
          </cell>
          <cell r="H751" t="str">
            <v/>
          </cell>
          <cell r="I751" t="str">
            <v/>
          </cell>
        </row>
        <row r="752">
          <cell r="B752" t="str">
            <v>امريج جيفينشي - نسائي</v>
          </cell>
          <cell r="C752" t="str">
            <v>إدخال</v>
          </cell>
          <cell r="G752">
            <v>218</v>
          </cell>
          <cell r="H752" t="str">
            <v/>
          </cell>
          <cell r="I752" t="str">
            <v/>
          </cell>
        </row>
        <row r="753">
          <cell r="B753" t="str">
            <v xml:space="preserve">هاواي - كاشمير - للجنسين </v>
          </cell>
          <cell r="C753" t="str">
            <v>إدخال</v>
          </cell>
          <cell r="G753">
            <v>315</v>
          </cell>
          <cell r="H753" t="str">
            <v/>
          </cell>
          <cell r="I753" t="str">
            <v/>
          </cell>
        </row>
        <row r="754">
          <cell r="B754" t="str">
            <v>جي جورجيو بيفرلي هيلز - نسائي</v>
          </cell>
          <cell r="C754" t="str">
            <v>إدخال</v>
          </cell>
          <cell r="G754">
            <v>308</v>
          </cell>
          <cell r="H754">
            <v>5</v>
          </cell>
          <cell r="I754">
            <v>5</v>
          </cell>
        </row>
        <row r="755">
          <cell r="B755" t="str">
            <v>ايدول لانكوم - نسائي</v>
          </cell>
          <cell r="C755" t="str">
            <v>إدخال</v>
          </cell>
          <cell r="G755">
            <v>290</v>
          </cell>
          <cell r="H755">
            <v>5</v>
          </cell>
          <cell r="I755">
            <v>6</v>
          </cell>
        </row>
        <row r="756">
          <cell r="B756" t="str">
            <v>امبريال فاليه قصة - للجنسين</v>
          </cell>
          <cell r="C756" t="str">
            <v>إدخال</v>
          </cell>
          <cell r="G756">
            <v>187</v>
          </cell>
          <cell r="H756">
            <v>2</v>
          </cell>
          <cell r="I756">
            <v>6</v>
          </cell>
        </row>
        <row r="757">
          <cell r="B757" t="str">
            <v xml:space="preserve">بوا امبريال اسينتيال - للجنسين </v>
          </cell>
          <cell r="C757" t="str">
            <v>إدخال</v>
          </cell>
          <cell r="G757">
            <v>328</v>
          </cell>
          <cell r="H757" t="str">
            <v/>
          </cell>
          <cell r="I757" t="str">
            <v/>
          </cell>
        </row>
        <row r="758">
          <cell r="B758" t="str">
            <v>برايت كريستال فرزاتشي - نسائيي</v>
          </cell>
          <cell r="C758" t="str">
            <v>إدخال</v>
          </cell>
          <cell r="G758">
            <v>416</v>
          </cell>
          <cell r="H758" t="str">
            <v/>
          </cell>
          <cell r="I758" t="str">
            <v/>
          </cell>
        </row>
        <row r="759">
          <cell r="B759" t="str">
            <v>بوازون غيرل كريستيان ديور -نسائي</v>
          </cell>
          <cell r="C759" t="str">
            <v>إدخال</v>
          </cell>
          <cell r="G759">
            <v>720</v>
          </cell>
          <cell r="H759" t="str">
            <v/>
          </cell>
          <cell r="I759" t="str">
            <v/>
          </cell>
        </row>
        <row r="760">
          <cell r="B760" t="str">
            <v>ايفوريا كالفين كلاين - نسائي</v>
          </cell>
          <cell r="C760" t="str">
            <v>إدخال</v>
          </cell>
          <cell r="G760">
            <v>255</v>
          </cell>
          <cell r="H760" t="str">
            <v/>
          </cell>
          <cell r="I760" t="str">
            <v/>
          </cell>
        </row>
        <row r="761">
          <cell r="B761" t="str">
            <v>هيدسون فاليه قصة - رجالي</v>
          </cell>
          <cell r="C761" t="str">
            <v>إدخال</v>
          </cell>
          <cell r="G761">
            <v>609</v>
          </cell>
          <cell r="H761">
            <v>1</v>
          </cell>
          <cell r="I761">
            <v>2</v>
          </cell>
        </row>
        <row r="762">
          <cell r="B762" t="str">
            <v xml:space="preserve">لوست شيري - توم فورد - للجنسين </v>
          </cell>
          <cell r="C762" t="str">
            <v>إدخال</v>
          </cell>
          <cell r="G762">
            <v>214</v>
          </cell>
          <cell r="H762" t="str">
            <v/>
          </cell>
          <cell r="I762" t="str">
            <v/>
          </cell>
        </row>
        <row r="763">
          <cell r="B763" t="str">
            <v>شانيل 5 - نسائي</v>
          </cell>
          <cell r="C763" t="str">
            <v>إدخال</v>
          </cell>
          <cell r="G763">
            <v>255</v>
          </cell>
          <cell r="H763">
            <v>4</v>
          </cell>
          <cell r="I763">
            <v>2</v>
          </cell>
        </row>
        <row r="764">
          <cell r="B764" t="str">
            <v>كوكونات باشن فيكتوريا سيكرت - نسائي</v>
          </cell>
          <cell r="C764" t="str">
            <v>إدخال</v>
          </cell>
          <cell r="G764">
            <v>329</v>
          </cell>
          <cell r="H764">
            <v>5</v>
          </cell>
          <cell r="I764">
            <v>2</v>
          </cell>
        </row>
        <row r="765">
          <cell r="B765" t="str">
            <v>شانيل 19 - نسائي</v>
          </cell>
          <cell r="C765" t="str">
            <v>إدخال</v>
          </cell>
          <cell r="G765">
            <v>218</v>
          </cell>
          <cell r="H765" t="str">
            <v/>
          </cell>
          <cell r="I765" t="str">
            <v/>
          </cell>
        </row>
        <row r="766">
          <cell r="B766" t="str">
            <v>بيور بوازون كريستيان ديور  نسائي</v>
          </cell>
          <cell r="C766" t="str">
            <v>إدخال</v>
          </cell>
          <cell r="G766">
            <v>284</v>
          </cell>
          <cell r="H766">
            <v>4</v>
          </cell>
          <cell r="I766">
            <v>6</v>
          </cell>
        </row>
        <row r="767">
          <cell r="B767" t="str">
            <v>اترنتي كالفين كلاين - نسائي</v>
          </cell>
          <cell r="C767" t="str">
            <v>إدخال</v>
          </cell>
          <cell r="G767">
            <v>394</v>
          </cell>
          <cell r="H767">
            <v>5</v>
          </cell>
          <cell r="I767">
            <v>3</v>
          </cell>
        </row>
        <row r="768">
          <cell r="B768" t="str">
            <v>بلاك اوبيوم Y.S.L - نسائي</v>
          </cell>
          <cell r="C768" t="str">
            <v>إدخال</v>
          </cell>
          <cell r="G768">
            <v>424</v>
          </cell>
          <cell r="H768">
            <v>4</v>
          </cell>
          <cell r="I768">
            <v>5</v>
          </cell>
        </row>
        <row r="769">
          <cell r="B769" t="str">
            <v>جابرييل شانيل - نسائي</v>
          </cell>
          <cell r="C769" t="str">
            <v>إدخال</v>
          </cell>
          <cell r="G769">
            <v>342</v>
          </cell>
          <cell r="H769" t="str">
            <v/>
          </cell>
          <cell r="I769" t="str">
            <v/>
          </cell>
        </row>
        <row r="770">
          <cell r="B770" t="str">
            <v>شيخ الشيوخ لطافة - للجنسين</v>
          </cell>
          <cell r="C770" t="str">
            <v>إدخال</v>
          </cell>
          <cell r="G770">
            <v>182</v>
          </cell>
          <cell r="H770">
            <v>3</v>
          </cell>
          <cell r="I770">
            <v>5</v>
          </cell>
        </row>
        <row r="771">
          <cell r="B771" t="str">
            <v>روز فانيل مانسيرا - للجنسين</v>
          </cell>
          <cell r="C771" t="str">
            <v>إدخال</v>
          </cell>
          <cell r="G771">
            <v>443</v>
          </cell>
          <cell r="H771">
            <v>5</v>
          </cell>
          <cell r="I771">
            <v>1</v>
          </cell>
        </row>
        <row r="772">
          <cell r="B772" t="str">
            <v>عود ابيض - رصاصي - للجنسين</v>
          </cell>
          <cell r="C772" t="str">
            <v>إدخال</v>
          </cell>
          <cell r="G772">
            <v>230</v>
          </cell>
          <cell r="H772">
            <v>4</v>
          </cell>
          <cell r="I772">
            <v>2</v>
          </cell>
        </row>
        <row r="773">
          <cell r="B773" t="str">
            <v>اكسينتو اكس ارجوف - للجنسين</v>
          </cell>
          <cell r="C773" t="str">
            <v>إدخال</v>
          </cell>
          <cell r="G773">
            <v>356</v>
          </cell>
          <cell r="H773">
            <v>2</v>
          </cell>
          <cell r="I773">
            <v>3</v>
          </cell>
        </row>
        <row r="774">
          <cell r="B774" t="str">
            <v>عود وود توم فورد - للجنسين</v>
          </cell>
          <cell r="C774" t="str">
            <v>إدخال</v>
          </cell>
          <cell r="G774">
            <v>64</v>
          </cell>
          <cell r="H774" t="str">
            <v/>
          </cell>
          <cell r="I774" t="str">
            <v/>
          </cell>
        </row>
        <row r="775">
          <cell r="B775" t="str">
            <v>مسك جوفان - للجنسين</v>
          </cell>
          <cell r="C775" t="str">
            <v>إدخال</v>
          </cell>
          <cell r="G775">
            <v>218</v>
          </cell>
          <cell r="H775">
            <v>6</v>
          </cell>
          <cell r="I775">
            <v>5</v>
          </cell>
        </row>
        <row r="776">
          <cell r="B776" t="str">
            <v xml:space="preserve">مسك ابيض إبراهيم القرشي - للجنسين </v>
          </cell>
          <cell r="C776" t="str">
            <v>إدخال</v>
          </cell>
          <cell r="G776">
            <v>563</v>
          </cell>
          <cell r="H776">
            <v>3</v>
          </cell>
          <cell r="I776">
            <v>5</v>
          </cell>
        </row>
        <row r="777">
          <cell r="B777" t="str">
            <v>40عقدة اكس ارجوف -رجالي</v>
          </cell>
          <cell r="C777" t="str">
            <v>إدخال</v>
          </cell>
          <cell r="G777">
            <v>157</v>
          </cell>
          <cell r="H777" t="str">
            <v/>
          </cell>
          <cell r="I777" t="str">
            <v/>
          </cell>
        </row>
        <row r="778">
          <cell r="B778" t="str">
            <v>امبري لذر توم فورد - رجالي</v>
          </cell>
          <cell r="C778" t="str">
            <v>إدخال</v>
          </cell>
          <cell r="G778">
            <v>172</v>
          </cell>
          <cell r="H778">
            <v>1</v>
          </cell>
          <cell r="I778">
            <v>4</v>
          </cell>
        </row>
        <row r="779">
          <cell r="B779" t="str">
            <v xml:space="preserve">ورد جوري - للجنسين </v>
          </cell>
          <cell r="C779" t="str">
            <v>إدخال</v>
          </cell>
          <cell r="G779">
            <v>155</v>
          </cell>
          <cell r="H779" t="str">
            <v/>
          </cell>
          <cell r="I779" t="str">
            <v/>
          </cell>
        </row>
        <row r="780">
          <cell r="B780" t="str">
            <v>فلفت روز جومالون - للجنسين</v>
          </cell>
          <cell r="C780" t="str">
            <v>إدخال</v>
          </cell>
          <cell r="G780">
            <v>194</v>
          </cell>
          <cell r="H780" t="str">
            <v/>
          </cell>
          <cell r="I780" t="str">
            <v/>
          </cell>
        </row>
        <row r="781">
          <cell r="B781" t="str">
            <v>عنبر عود اجمل - للجنسين</v>
          </cell>
          <cell r="C781" t="str">
            <v>إدخال</v>
          </cell>
          <cell r="G781">
            <v>202</v>
          </cell>
          <cell r="H781">
            <v>1</v>
          </cell>
          <cell r="I781">
            <v>5</v>
          </cell>
        </row>
        <row r="782">
          <cell r="B782" t="str">
            <v>عود أصفهان كريستيان ديور - للجنسين</v>
          </cell>
          <cell r="C782" t="str">
            <v>إدخال</v>
          </cell>
          <cell r="G782">
            <v>147</v>
          </cell>
          <cell r="H782" t="str">
            <v/>
          </cell>
          <cell r="I782" t="str">
            <v/>
          </cell>
        </row>
        <row r="783">
          <cell r="B783" t="str">
            <v>لورد جورج بينك هاليسون - رجالي</v>
          </cell>
          <cell r="C783" t="str">
            <v>إدخال</v>
          </cell>
          <cell r="G783">
            <v>222</v>
          </cell>
          <cell r="H783">
            <v>2</v>
          </cell>
          <cell r="I783">
            <v>6</v>
          </cell>
        </row>
        <row r="784">
          <cell r="B784" t="str">
            <v xml:space="preserve">مسك اسود الرحاب - للجنسين </v>
          </cell>
          <cell r="C784" t="str">
            <v>إدخال</v>
          </cell>
          <cell r="G784">
            <v>186</v>
          </cell>
          <cell r="H784" t="str">
            <v/>
          </cell>
          <cell r="I784" t="str">
            <v/>
          </cell>
        </row>
        <row r="785">
          <cell r="B785" t="str">
            <v>عود السلطان ارض الزعفرران -  للجنسين</v>
          </cell>
          <cell r="C785" t="str">
            <v>إدخال</v>
          </cell>
          <cell r="G785">
            <v>590</v>
          </cell>
          <cell r="H785" t="str">
            <v/>
          </cell>
          <cell r="I785" t="str">
            <v/>
          </cell>
        </row>
        <row r="786">
          <cell r="B786" t="str">
            <v>اورينت صاندل ابسولو غيرلان - للجنسين</v>
          </cell>
          <cell r="C786" t="str">
            <v>إدخال</v>
          </cell>
          <cell r="G786">
            <v>349</v>
          </cell>
          <cell r="H786" t="str">
            <v/>
          </cell>
          <cell r="I786" t="str">
            <v/>
          </cell>
        </row>
        <row r="787">
          <cell r="B787" t="str">
            <v>وان اند اونلي قصة - للجنسين</v>
          </cell>
          <cell r="C787" t="str">
            <v>إدخال</v>
          </cell>
          <cell r="G787">
            <v>176</v>
          </cell>
          <cell r="H787">
            <v>5</v>
          </cell>
          <cell r="I787">
            <v>3</v>
          </cell>
        </row>
        <row r="788">
          <cell r="B788" t="str">
            <v xml:space="preserve">فلور ناركوتيك اكسنيهيلو - للجنسين </v>
          </cell>
          <cell r="C788" t="str">
            <v>إدخال</v>
          </cell>
          <cell r="G788">
            <v>322</v>
          </cell>
          <cell r="H788">
            <v>4</v>
          </cell>
          <cell r="I788">
            <v>6</v>
          </cell>
        </row>
        <row r="789">
          <cell r="B789" t="str">
            <v xml:space="preserve">روز مسك مونتال - للجنسين </v>
          </cell>
          <cell r="C789" t="str">
            <v>إدخال</v>
          </cell>
          <cell r="G789">
            <v>129</v>
          </cell>
          <cell r="H789">
            <v>4</v>
          </cell>
          <cell r="I789">
            <v>2</v>
          </cell>
        </row>
        <row r="790">
          <cell r="B790" t="str">
            <v>شمس الامارات لطافة - للجنسين</v>
          </cell>
          <cell r="C790" t="str">
            <v>إدخال</v>
          </cell>
          <cell r="G790">
            <v>520</v>
          </cell>
          <cell r="H790" t="str">
            <v/>
          </cell>
          <cell r="I790" t="str">
            <v/>
          </cell>
        </row>
        <row r="791">
          <cell r="B791" t="str">
            <v>تيروني اورتو باريس - للجنسين</v>
          </cell>
          <cell r="C791" t="str">
            <v>إدخال</v>
          </cell>
          <cell r="G791">
            <v>584</v>
          </cell>
          <cell r="H791" t="str">
            <v/>
          </cell>
          <cell r="I791" t="str">
            <v/>
          </cell>
        </row>
        <row r="792">
          <cell r="B792" t="str">
            <v>فويس اوف ذا سنيك غوتشي للجنسين</v>
          </cell>
          <cell r="C792" t="str">
            <v>إدخال</v>
          </cell>
          <cell r="G792">
            <v>500</v>
          </cell>
          <cell r="H792" t="str">
            <v/>
          </cell>
          <cell r="I792" t="str">
            <v/>
          </cell>
        </row>
        <row r="793">
          <cell r="B793" t="str">
            <v xml:space="preserve">مسك طهارة شفاف - مسك قرشي - للجنسين </v>
          </cell>
          <cell r="C793" t="str">
            <v>إدخال</v>
          </cell>
          <cell r="G793">
            <v>108</v>
          </cell>
          <cell r="H793">
            <v>6</v>
          </cell>
          <cell r="I793">
            <v>6</v>
          </cell>
        </row>
        <row r="794">
          <cell r="B794" t="str">
            <v>عود هندي - الرحاب - للجنسين</v>
          </cell>
          <cell r="C794" t="str">
            <v>إدخال</v>
          </cell>
          <cell r="G794">
            <v>228</v>
          </cell>
          <cell r="H794" t="str">
            <v/>
          </cell>
          <cell r="I794" t="str">
            <v/>
          </cell>
        </row>
        <row r="795">
          <cell r="B795" t="str">
            <v>مس لافيرن - نسائي</v>
          </cell>
          <cell r="C795" t="str">
            <v>إدخال</v>
          </cell>
          <cell r="G795">
            <v>278</v>
          </cell>
          <cell r="H795">
            <v>6</v>
          </cell>
          <cell r="I795">
            <v>6</v>
          </cell>
        </row>
        <row r="796">
          <cell r="B796" t="str">
            <v>عود كمبودي الرحاب - للجنسين</v>
          </cell>
          <cell r="C796" t="str">
            <v>إدخال</v>
          </cell>
          <cell r="G796">
            <v>75</v>
          </cell>
          <cell r="H796" t="str">
            <v/>
          </cell>
          <cell r="I796" t="str">
            <v/>
          </cell>
        </row>
        <row r="797">
          <cell r="B797" t="str">
            <v xml:space="preserve">مسك باودر إبراهيم القرشي - للجنسين </v>
          </cell>
          <cell r="C797" t="str">
            <v>إدخال</v>
          </cell>
          <cell r="G797">
            <v>303</v>
          </cell>
          <cell r="H797" t="str">
            <v>مختوم ومسك</v>
          </cell>
          <cell r="I797" t="str">
            <v>-</v>
          </cell>
        </row>
        <row r="798">
          <cell r="B798" t="str">
            <v>عود مضاوي العربية للعود - للجنسين</v>
          </cell>
          <cell r="C798" t="str">
            <v>إدخال</v>
          </cell>
          <cell r="G798">
            <v>448</v>
          </cell>
          <cell r="H798">
            <v>1</v>
          </cell>
          <cell r="I798">
            <v>2</v>
          </cell>
        </row>
        <row r="799">
          <cell r="B799" t="str">
            <v>فلانتينو بورن ان روما - رجالي</v>
          </cell>
          <cell r="C799" t="str">
            <v>إدخال</v>
          </cell>
          <cell r="G799">
            <v>183</v>
          </cell>
          <cell r="H799" t="str">
            <v/>
          </cell>
          <cell r="I799" t="str">
            <v/>
          </cell>
        </row>
        <row r="800">
          <cell r="B800" t="str">
            <v>لايتون بارفام ديمارلي - رجالي</v>
          </cell>
          <cell r="C800" t="str">
            <v>إدخال</v>
          </cell>
          <cell r="G800">
            <v>123</v>
          </cell>
          <cell r="H800">
            <v>2</v>
          </cell>
          <cell r="I800">
            <v>1</v>
          </cell>
        </row>
        <row r="801">
          <cell r="B801" t="str">
            <v>فاير بلاس ريبليكا - رجالي</v>
          </cell>
          <cell r="C801" t="str">
            <v>إدخال</v>
          </cell>
          <cell r="G801">
            <v>242</v>
          </cell>
          <cell r="H801" t="str">
            <v/>
          </cell>
          <cell r="I801" t="str">
            <v/>
          </cell>
        </row>
        <row r="802">
          <cell r="C802" t="str">
            <v>إدخال</v>
          </cell>
          <cell r="G802" t="str">
            <v/>
          </cell>
          <cell r="H802" t="str">
            <v/>
          </cell>
          <cell r="I802" t="str">
            <v/>
          </cell>
        </row>
        <row r="803">
          <cell r="B803" t="str">
            <v>نايت فلايت جوب - رجالي</v>
          </cell>
          <cell r="C803" t="str">
            <v>إدخال</v>
          </cell>
          <cell r="G803">
            <v>409</v>
          </cell>
          <cell r="H803" t="str">
            <v/>
          </cell>
          <cell r="I803" t="str">
            <v/>
          </cell>
        </row>
        <row r="804">
          <cell r="B804" t="str">
            <v>المنت هوغو بوس - رجالي</v>
          </cell>
          <cell r="C804" t="str">
            <v>إدخال</v>
          </cell>
          <cell r="G804">
            <v>298</v>
          </cell>
          <cell r="H804" t="str">
            <v/>
          </cell>
          <cell r="I804" t="str">
            <v/>
          </cell>
        </row>
        <row r="805">
          <cell r="B805" t="str">
            <v>دكلريشن دي كارتير - رجالي</v>
          </cell>
          <cell r="C805" t="str">
            <v>إدخال</v>
          </cell>
          <cell r="G805">
            <v>260</v>
          </cell>
          <cell r="H805" t="str">
            <v/>
          </cell>
          <cell r="I805" t="str">
            <v/>
          </cell>
        </row>
        <row r="806">
          <cell r="B806" t="str">
            <v>استي ديبون - رجالي</v>
          </cell>
          <cell r="C806" t="str">
            <v>إدخال</v>
          </cell>
          <cell r="G806">
            <v>260</v>
          </cell>
          <cell r="H806" t="str">
            <v/>
          </cell>
          <cell r="I806" t="str">
            <v/>
          </cell>
        </row>
        <row r="807">
          <cell r="B807" t="str">
            <v>فهرنهايت كريستيان ديور - رجالي</v>
          </cell>
          <cell r="C807" t="str">
            <v>إدخال</v>
          </cell>
          <cell r="G807">
            <v>519</v>
          </cell>
          <cell r="H807">
            <v>3</v>
          </cell>
          <cell r="I807">
            <v>4</v>
          </cell>
        </row>
        <row r="808">
          <cell r="B808" t="str">
            <v>مورزان ووردز اكس ارجوف - للجنسين</v>
          </cell>
          <cell r="C808" t="str">
            <v>إدخال</v>
          </cell>
          <cell r="G808">
            <v>913</v>
          </cell>
          <cell r="H808">
            <v>4</v>
          </cell>
          <cell r="I808">
            <v>5</v>
          </cell>
        </row>
        <row r="809">
          <cell r="B809" t="str">
            <v>بلاك كود بورفومو - رجالي</v>
          </cell>
          <cell r="C809" t="str">
            <v>إدخال</v>
          </cell>
          <cell r="G809">
            <v>537</v>
          </cell>
          <cell r="H809" t="str">
            <v/>
          </cell>
          <cell r="I809" t="str">
            <v/>
          </cell>
        </row>
        <row r="810">
          <cell r="B810" t="str">
            <v>ريد لاكوست - روج لاكوست - رجالي</v>
          </cell>
          <cell r="C810" t="str">
            <v>إدخال</v>
          </cell>
          <cell r="G810">
            <v>464</v>
          </cell>
          <cell r="H810" t="str">
            <v/>
          </cell>
          <cell r="I810" t="str">
            <v/>
          </cell>
        </row>
        <row r="811">
          <cell r="B811" t="str">
            <v>انرجايس هوغو - رجالي</v>
          </cell>
          <cell r="C811" t="str">
            <v>إدخال</v>
          </cell>
          <cell r="G811">
            <v>432</v>
          </cell>
          <cell r="H811">
            <v>1</v>
          </cell>
          <cell r="I811">
            <v>3</v>
          </cell>
        </row>
        <row r="812">
          <cell r="B812" t="str">
            <v>واي Y.S.L - رجالي</v>
          </cell>
          <cell r="C812" t="str">
            <v>إدخال</v>
          </cell>
          <cell r="G812">
            <v>183</v>
          </cell>
          <cell r="H812" t="str">
            <v/>
          </cell>
          <cell r="I812" t="str">
            <v/>
          </cell>
        </row>
        <row r="813">
          <cell r="B813" t="str">
            <v>ديزاير دينهيل - رجالي</v>
          </cell>
          <cell r="C813" t="str">
            <v>إدخال</v>
          </cell>
          <cell r="G813">
            <v>666</v>
          </cell>
          <cell r="H813">
            <v>1</v>
          </cell>
          <cell r="I813">
            <v>5</v>
          </cell>
        </row>
        <row r="814">
          <cell r="B814" t="str">
            <v xml:space="preserve">اني نيشاني - للجنسين </v>
          </cell>
          <cell r="C814" t="str">
            <v>إدخال</v>
          </cell>
          <cell r="G814">
            <v>495</v>
          </cell>
          <cell r="H814">
            <v>2</v>
          </cell>
          <cell r="I814">
            <v>1</v>
          </cell>
        </row>
        <row r="815">
          <cell r="B815" t="str">
            <v>باد بوي كارولينا هيريرا - رجالي</v>
          </cell>
          <cell r="C815" t="str">
            <v>إدخال</v>
          </cell>
          <cell r="G815">
            <v>377</v>
          </cell>
          <cell r="H815">
            <v>2</v>
          </cell>
          <cell r="I815">
            <v>6</v>
          </cell>
        </row>
        <row r="816">
          <cell r="B816" t="str">
            <v>بولغاري مان -رجالي</v>
          </cell>
          <cell r="C816" t="str">
            <v>إدخال</v>
          </cell>
          <cell r="G816">
            <v>303</v>
          </cell>
          <cell r="H816" t="str">
            <v/>
          </cell>
          <cell r="I816" t="str">
            <v/>
          </cell>
        </row>
        <row r="817">
          <cell r="B817" t="str">
            <v>ماجيك الجزيرة -  للجنسين</v>
          </cell>
          <cell r="C817" t="str">
            <v>إدخال</v>
          </cell>
          <cell r="G817">
            <v>570</v>
          </cell>
          <cell r="H817">
            <v>1</v>
          </cell>
          <cell r="I817">
            <v>4</v>
          </cell>
        </row>
        <row r="818">
          <cell r="B818" t="str">
            <v>بكرات روج mfk -للجنسين</v>
          </cell>
          <cell r="C818" t="str">
            <v>إدخال</v>
          </cell>
          <cell r="G818">
            <v>845</v>
          </cell>
          <cell r="H818">
            <v>3</v>
          </cell>
          <cell r="I818">
            <v>3</v>
          </cell>
        </row>
        <row r="819">
          <cell r="B819" t="str">
            <v>توكسيدو Y.S.L -رجالي</v>
          </cell>
          <cell r="C819" t="str">
            <v>إدخال</v>
          </cell>
          <cell r="G819">
            <v>292</v>
          </cell>
          <cell r="H819" t="str">
            <v/>
          </cell>
          <cell r="I819" t="str">
            <v/>
          </cell>
        </row>
        <row r="820">
          <cell r="B820" t="str">
            <v>عود بوكيه لانكوم - للجنسين</v>
          </cell>
          <cell r="C820" t="str">
            <v>إدخال</v>
          </cell>
          <cell r="G820">
            <v>290</v>
          </cell>
          <cell r="H820" t="str">
            <v/>
          </cell>
          <cell r="I820" t="str">
            <v/>
          </cell>
        </row>
        <row r="821">
          <cell r="B821" t="str">
            <v xml:space="preserve">بلاك اوركيد توم فورد - للجنسين </v>
          </cell>
          <cell r="C821" t="str">
            <v>إدخال</v>
          </cell>
          <cell r="G821">
            <v>337</v>
          </cell>
          <cell r="H821" t="str">
            <v/>
          </cell>
          <cell r="I821" t="str">
            <v/>
          </cell>
        </row>
        <row r="822">
          <cell r="B822" t="str">
            <v>بلاك اكس اس ليكزس باكورابان - رجالي</v>
          </cell>
          <cell r="C822" t="str">
            <v>إدخال</v>
          </cell>
          <cell r="G822">
            <v>299</v>
          </cell>
          <cell r="H822" t="str">
            <v/>
          </cell>
          <cell r="I822" t="str">
            <v/>
          </cell>
        </row>
        <row r="823">
          <cell r="B823" t="str">
            <v>ون مليون باكورابان - رجالي</v>
          </cell>
          <cell r="C823" t="str">
            <v>إدخال</v>
          </cell>
          <cell r="G823">
            <v>387</v>
          </cell>
          <cell r="H823" t="str">
            <v/>
          </cell>
          <cell r="I823" t="str">
            <v/>
          </cell>
        </row>
        <row r="824">
          <cell r="B824" t="str">
            <v>فريش دينهل - رجالي</v>
          </cell>
          <cell r="C824" t="str">
            <v>إدخال</v>
          </cell>
          <cell r="G824">
            <v>349</v>
          </cell>
          <cell r="H824" t="str">
            <v/>
          </cell>
          <cell r="I824" t="str">
            <v/>
          </cell>
        </row>
        <row r="825">
          <cell r="B825" t="str">
            <v>سي كي ون كالفين كلاين - رجالي</v>
          </cell>
          <cell r="C825" t="str">
            <v>إدخال</v>
          </cell>
          <cell r="G825">
            <v>562</v>
          </cell>
          <cell r="H825">
            <v>3</v>
          </cell>
          <cell r="I825" t="str">
            <v>2ط2</v>
          </cell>
        </row>
        <row r="826">
          <cell r="B826" t="str">
            <v>بلاك افغانو ناسوماتو - للجنسين</v>
          </cell>
          <cell r="C826" t="str">
            <v>إدخال</v>
          </cell>
          <cell r="G826">
            <v>310</v>
          </cell>
          <cell r="H826">
            <v>3</v>
          </cell>
          <cell r="I826" t="str">
            <v>1ط2</v>
          </cell>
        </row>
        <row r="827">
          <cell r="B827" t="str">
            <v>وصال - اجمل - للجنسين</v>
          </cell>
          <cell r="C827" t="str">
            <v>إدخال</v>
          </cell>
          <cell r="G827">
            <v>573</v>
          </cell>
          <cell r="H827">
            <v>2</v>
          </cell>
          <cell r="I827">
            <v>1</v>
          </cell>
        </row>
        <row r="828">
          <cell r="B828" t="str">
            <v>عنبر نوماد L.V - للجنسين</v>
          </cell>
          <cell r="C828" t="str">
            <v>إدخال</v>
          </cell>
          <cell r="G828">
            <v>277</v>
          </cell>
          <cell r="H828" t="str">
            <v/>
          </cell>
          <cell r="I828" t="str">
            <v/>
          </cell>
        </row>
        <row r="829">
          <cell r="B829" t="str">
            <v>سيكسي 212 كارولينا هيريرا - رجالي</v>
          </cell>
          <cell r="C829" t="str">
            <v>إدخال</v>
          </cell>
          <cell r="G829">
            <v>360</v>
          </cell>
          <cell r="H829">
            <v>3</v>
          </cell>
          <cell r="I829" t="str">
            <v>2ط2</v>
          </cell>
        </row>
        <row r="830">
          <cell r="B830" t="str">
            <v>في أي بي بلاك 212كارولينا هيريرا - رجالي</v>
          </cell>
          <cell r="C830" t="str">
            <v>إدخال</v>
          </cell>
          <cell r="G830">
            <v>307</v>
          </cell>
          <cell r="H830" t="str">
            <v/>
          </cell>
          <cell r="I830" t="str">
            <v/>
          </cell>
        </row>
        <row r="831">
          <cell r="B831" t="str">
            <v>عود ابيض - رصاصي - للجنسين</v>
          </cell>
          <cell r="C831" t="str">
            <v>إدخال</v>
          </cell>
          <cell r="G831">
            <v>640</v>
          </cell>
          <cell r="H831">
            <v>4</v>
          </cell>
          <cell r="I831">
            <v>2</v>
          </cell>
        </row>
        <row r="832">
          <cell r="B832" t="str">
            <v>ون مان شو - رجالي</v>
          </cell>
          <cell r="C832" t="str">
            <v>إدخال</v>
          </cell>
          <cell r="G832">
            <v>238</v>
          </cell>
          <cell r="H832" t="str">
            <v/>
          </cell>
          <cell r="I832" t="str">
            <v/>
          </cell>
        </row>
        <row r="833">
          <cell r="B833" t="str">
            <v>سي اتش كارولينا هيريرا - رجالي</v>
          </cell>
          <cell r="C833" t="str">
            <v>إدخال</v>
          </cell>
          <cell r="G833">
            <v>259</v>
          </cell>
          <cell r="H833" t="str">
            <v/>
          </cell>
          <cell r="I833" t="str">
            <v/>
          </cell>
        </row>
        <row r="834">
          <cell r="B834" t="str">
            <v>اوبن روجر  -  رجالي</v>
          </cell>
          <cell r="C834" t="str">
            <v>إدخال</v>
          </cell>
          <cell r="G834">
            <v>295</v>
          </cell>
          <cell r="H834" t="str">
            <v/>
          </cell>
          <cell r="I834" t="str">
            <v/>
          </cell>
        </row>
        <row r="835">
          <cell r="B835" t="str">
            <v>هوم انتنس كريستيان ديور - رجالي</v>
          </cell>
          <cell r="C835" t="str">
            <v>إدخال</v>
          </cell>
          <cell r="G835">
            <v>297</v>
          </cell>
          <cell r="H835">
            <v>3</v>
          </cell>
          <cell r="I835">
            <v>4</v>
          </cell>
        </row>
        <row r="836">
          <cell r="B836" t="str">
            <v>بلاك اكس اس باكورابان - نسائي</v>
          </cell>
          <cell r="C836" t="str">
            <v>إدخال</v>
          </cell>
          <cell r="G836">
            <v>199</v>
          </cell>
          <cell r="H836" t="str">
            <v/>
          </cell>
          <cell r="I836" t="str">
            <v/>
          </cell>
        </row>
        <row r="837">
          <cell r="B837" t="str">
            <v>اسينشال لاكوست - رجالي</v>
          </cell>
          <cell r="C837" t="str">
            <v>إدخال</v>
          </cell>
          <cell r="G837">
            <v>342</v>
          </cell>
          <cell r="H837">
            <v>3</v>
          </cell>
          <cell r="I837">
            <v>5</v>
          </cell>
        </row>
        <row r="838">
          <cell r="B838" t="str">
            <v>لكي مان - رجالي</v>
          </cell>
          <cell r="C838" t="str">
            <v>إدخال</v>
          </cell>
          <cell r="G838">
            <v>139</v>
          </cell>
          <cell r="H838">
            <v>2</v>
          </cell>
          <cell r="I838">
            <v>5</v>
          </cell>
        </row>
        <row r="839">
          <cell r="B839" t="str">
            <v>بيور نايت اكس اس باكورابان - رجالي</v>
          </cell>
          <cell r="C839" t="str">
            <v>إدخال</v>
          </cell>
          <cell r="G839">
            <v>294</v>
          </cell>
          <cell r="H839" t="str">
            <v/>
          </cell>
          <cell r="I839" t="str">
            <v/>
          </cell>
        </row>
        <row r="840">
          <cell r="B840" t="str">
            <v>ذا سينت هوغو بوس - نسائي</v>
          </cell>
          <cell r="C840" t="str">
            <v>إدخال</v>
          </cell>
          <cell r="G840">
            <v>257</v>
          </cell>
          <cell r="H840" t="str">
            <v/>
          </cell>
          <cell r="I840" t="str">
            <v/>
          </cell>
        </row>
        <row r="841">
          <cell r="B841" t="str">
            <v>لايت بلو بورفام دولتشي غابانا - نسائي</v>
          </cell>
          <cell r="C841" t="str">
            <v>إدخال</v>
          </cell>
          <cell r="G841">
            <v>179</v>
          </cell>
          <cell r="H841" t="str">
            <v/>
          </cell>
          <cell r="I841" t="str">
            <v/>
          </cell>
        </row>
        <row r="842">
          <cell r="B842" t="str">
            <v>ازارو بورهوم - رجالي</v>
          </cell>
          <cell r="C842" t="str">
            <v>إدخال</v>
          </cell>
          <cell r="G842">
            <v>153</v>
          </cell>
          <cell r="H842" t="str">
            <v/>
          </cell>
          <cell r="I842" t="str">
            <v/>
          </cell>
        </row>
        <row r="843">
          <cell r="B843" t="str">
            <v>تشالينج لاكوست - رجالي</v>
          </cell>
          <cell r="C843" t="str">
            <v>إدخال</v>
          </cell>
          <cell r="G843">
            <v>307</v>
          </cell>
          <cell r="H843">
            <v>3</v>
          </cell>
          <cell r="I843">
            <v>5</v>
          </cell>
        </row>
        <row r="844">
          <cell r="B844" t="str">
            <v>ستيلا - دي سيديلا - نسائي</v>
          </cell>
          <cell r="C844" t="str">
            <v>إدخال</v>
          </cell>
          <cell r="G844">
            <v>209</v>
          </cell>
          <cell r="H844">
            <v>6</v>
          </cell>
          <cell r="I844">
            <v>3</v>
          </cell>
        </row>
        <row r="845">
          <cell r="B845" t="str">
            <v xml:space="preserve">فلور مسك نارسيسو رودريغيز - للجنسين </v>
          </cell>
          <cell r="C845" t="str">
            <v>إدخال</v>
          </cell>
          <cell r="G845">
            <v>298</v>
          </cell>
          <cell r="H845">
            <v>4</v>
          </cell>
          <cell r="I845">
            <v>2</v>
          </cell>
        </row>
        <row r="846">
          <cell r="B846" t="str">
            <v>سكيب - رجالي</v>
          </cell>
          <cell r="C846" t="str">
            <v>إدخال</v>
          </cell>
          <cell r="G846">
            <v>702</v>
          </cell>
          <cell r="H846" t="str">
            <v/>
          </cell>
          <cell r="I846" t="str">
            <v/>
          </cell>
        </row>
        <row r="847">
          <cell r="B847" t="str">
            <v>توسكان لذر توم فورد - للجنسين</v>
          </cell>
          <cell r="C847" t="str">
            <v>إدخال</v>
          </cell>
          <cell r="G847">
            <v>194</v>
          </cell>
          <cell r="H847">
            <v>2</v>
          </cell>
          <cell r="I847">
            <v>1</v>
          </cell>
        </row>
        <row r="848">
          <cell r="B848" t="str">
            <v>مغنتزم سكادة - نسائي</v>
          </cell>
          <cell r="C848" t="str">
            <v>إدخال</v>
          </cell>
          <cell r="G848">
            <v>330</v>
          </cell>
          <cell r="H848" t="str">
            <v/>
          </cell>
          <cell r="I848" t="str">
            <v/>
          </cell>
        </row>
        <row r="849">
          <cell r="B849" t="str">
            <v>هيبنوتيك بوازون كريستيان ديور - نسائي</v>
          </cell>
          <cell r="C849" t="str">
            <v>إدخال</v>
          </cell>
          <cell r="G849">
            <v>379</v>
          </cell>
          <cell r="H849">
            <v>6</v>
          </cell>
          <cell r="I849">
            <v>1</v>
          </cell>
        </row>
        <row r="850">
          <cell r="B850" t="str">
            <v>اوشن لونج سكادة - نسائي</v>
          </cell>
          <cell r="C850" t="str">
            <v>إدخال</v>
          </cell>
          <cell r="G850">
            <v>266</v>
          </cell>
          <cell r="H850">
            <v>2</v>
          </cell>
          <cell r="I850">
            <v>4</v>
          </cell>
        </row>
        <row r="851">
          <cell r="B851" t="str">
            <v>غوتشي باي غوتشي - نسائي</v>
          </cell>
          <cell r="C851" t="str">
            <v>إدخال</v>
          </cell>
          <cell r="G851">
            <v>230</v>
          </cell>
          <cell r="H851" t="str">
            <v/>
          </cell>
          <cell r="I851" t="str">
            <v/>
          </cell>
        </row>
        <row r="852">
          <cell r="B852" t="str">
            <v>بينك شوغر - انا والشوق - نسائي</v>
          </cell>
          <cell r="C852" t="str">
            <v>إدخال</v>
          </cell>
          <cell r="G852">
            <v>533</v>
          </cell>
          <cell r="H852" t="str">
            <v/>
          </cell>
          <cell r="I852" t="str">
            <v/>
          </cell>
        </row>
        <row r="853">
          <cell r="B853" t="str">
            <v>تاج سنسيت سكادة - نسائي</v>
          </cell>
          <cell r="C853" t="str">
            <v>إدخال</v>
          </cell>
          <cell r="G853">
            <v>353</v>
          </cell>
          <cell r="H853">
            <v>5</v>
          </cell>
          <cell r="I853">
            <v>6</v>
          </cell>
        </row>
        <row r="854">
          <cell r="B854" t="str">
            <v>انسولانس غيرلان - نسائي</v>
          </cell>
          <cell r="C854" t="str">
            <v>إدخال</v>
          </cell>
          <cell r="G854">
            <v>675</v>
          </cell>
          <cell r="H854" t="str">
            <v/>
          </cell>
          <cell r="I854" t="str">
            <v/>
          </cell>
        </row>
        <row r="855">
          <cell r="B855" t="str">
            <v>فلور كينزو - نسائي</v>
          </cell>
          <cell r="C855" t="str">
            <v>إدخال</v>
          </cell>
          <cell r="G855">
            <v>409</v>
          </cell>
          <cell r="H855" t="str">
            <v/>
          </cell>
          <cell r="I855" t="str">
            <v/>
          </cell>
        </row>
        <row r="856">
          <cell r="B856" t="str">
            <v>جوي كريستيان ديور - نسائي</v>
          </cell>
          <cell r="C856" t="str">
            <v>إدخال</v>
          </cell>
          <cell r="G856">
            <v>280</v>
          </cell>
          <cell r="H856" t="str">
            <v/>
          </cell>
          <cell r="I856" t="str">
            <v/>
          </cell>
        </row>
        <row r="857">
          <cell r="B857" t="str">
            <v>باراديسو روبيرتو كافالي  - نسائي</v>
          </cell>
          <cell r="C857" t="str">
            <v>إدخال</v>
          </cell>
          <cell r="G857">
            <v>285</v>
          </cell>
          <cell r="H857">
            <v>5</v>
          </cell>
          <cell r="I857">
            <v>6</v>
          </cell>
        </row>
        <row r="858">
          <cell r="B858" t="str">
            <v>باريس هيلتون - نسائي</v>
          </cell>
          <cell r="C858" t="str">
            <v>إدخال</v>
          </cell>
          <cell r="G858">
            <v>222</v>
          </cell>
          <cell r="H858" t="str">
            <v/>
          </cell>
          <cell r="I858" t="str">
            <v/>
          </cell>
        </row>
        <row r="859">
          <cell r="B859" t="str">
            <v>راش غوتشي - نسائي</v>
          </cell>
          <cell r="C859" t="str">
            <v>إدخال</v>
          </cell>
          <cell r="G859">
            <v>419</v>
          </cell>
          <cell r="H859">
            <v>4</v>
          </cell>
          <cell r="I859">
            <v>6</v>
          </cell>
        </row>
        <row r="860">
          <cell r="B860" t="str">
            <v>تروبيكال - نسائي</v>
          </cell>
          <cell r="C860" t="str">
            <v>إدخال</v>
          </cell>
          <cell r="G860">
            <v>367</v>
          </cell>
          <cell r="H860" t="str">
            <v/>
          </cell>
          <cell r="I860" t="str">
            <v/>
          </cell>
        </row>
        <row r="861">
          <cell r="B861" t="str">
            <v>ازارو وانتد غيرل - نسائي</v>
          </cell>
          <cell r="C861" t="str">
            <v>إدخال</v>
          </cell>
          <cell r="G861">
            <v>654</v>
          </cell>
          <cell r="H861">
            <v>5</v>
          </cell>
          <cell r="I861">
            <v>1</v>
          </cell>
        </row>
        <row r="862">
          <cell r="B862" t="str">
            <v>ايكو دافيدوف -كراش فيكتوريا سيكرت - نسائي</v>
          </cell>
          <cell r="C862" t="str">
            <v>إدخال</v>
          </cell>
          <cell r="G862">
            <v>234</v>
          </cell>
          <cell r="H862">
            <v>5</v>
          </cell>
          <cell r="I862">
            <v>3</v>
          </cell>
        </row>
        <row r="863">
          <cell r="B863" t="str">
            <v>غود غيرل كارولينا هيريرا - نسائي</v>
          </cell>
          <cell r="C863" t="str">
            <v>إدخال</v>
          </cell>
          <cell r="G863">
            <v>241</v>
          </cell>
          <cell r="H863">
            <v>5</v>
          </cell>
          <cell r="I863">
            <v>4</v>
          </cell>
        </row>
        <row r="864">
          <cell r="B864" t="str">
            <v>سمسارة غيرلان - نسائي</v>
          </cell>
          <cell r="C864" t="str">
            <v>إدخال</v>
          </cell>
          <cell r="G864">
            <v>201</v>
          </cell>
          <cell r="H864" t="str">
            <v/>
          </cell>
          <cell r="I864" t="str">
            <v/>
          </cell>
        </row>
        <row r="865">
          <cell r="B865" t="str">
            <v>رومانس رصاصي - نسائي</v>
          </cell>
          <cell r="C865" t="str">
            <v>إدخال</v>
          </cell>
          <cell r="G865">
            <v>346</v>
          </cell>
          <cell r="H865">
            <v>5</v>
          </cell>
          <cell r="I865">
            <v>1</v>
          </cell>
        </row>
        <row r="866">
          <cell r="B866" t="str">
            <v>انيس انيس - نسائي</v>
          </cell>
          <cell r="C866" t="str">
            <v>إدخال</v>
          </cell>
          <cell r="G866">
            <v>303</v>
          </cell>
          <cell r="H866">
            <v>6</v>
          </cell>
          <cell r="I866">
            <v>1</v>
          </cell>
        </row>
        <row r="867">
          <cell r="B867" t="str">
            <v>سي باشن جورجيو ارماني - نسائي</v>
          </cell>
          <cell r="C867" t="str">
            <v>إدخال</v>
          </cell>
          <cell r="G867">
            <v>343</v>
          </cell>
          <cell r="H867">
            <v>5</v>
          </cell>
          <cell r="I867">
            <v>3</v>
          </cell>
        </row>
        <row r="868">
          <cell r="B868" t="str">
            <v>مدام روشه - نسائي</v>
          </cell>
          <cell r="C868" t="str">
            <v>إدخال</v>
          </cell>
          <cell r="G868">
            <v>273</v>
          </cell>
          <cell r="H868" t="str">
            <v/>
          </cell>
          <cell r="I868" t="str">
            <v/>
          </cell>
        </row>
        <row r="869">
          <cell r="B869" t="str">
            <v>سيداكتيف جيس - نسائي</v>
          </cell>
          <cell r="C869" t="str">
            <v>إدخال</v>
          </cell>
          <cell r="G869">
            <v>707</v>
          </cell>
          <cell r="H869" t="str">
            <v/>
          </cell>
          <cell r="I869" t="str">
            <v/>
          </cell>
        </row>
        <row r="870">
          <cell r="B870" t="str">
            <v>ذا سينت هوغو بوس - رجالي</v>
          </cell>
          <cell r="C870" t="str">
            <v>إدخال</v>
          </cell>
          <cell r="G870">
            <v>314</v>
          </cell>
          <cell r="H870" t="str">
            <v/>
          </cell>
          <cell r="I870" t="str">
            <v/>
          </cell>
        </row>
        <row r="871">
          <cell r="B871" t="str">
            <v>فلورا غوتشي - نسائي</v>
          </cell>
          <cell r="C871" t="str">
            <v>إدخال</v>
          </cell>
          <cell r="G871">
            <v>313</v>
          </cell>
          <cell r="H871" t="str">
            <v/>
          </cell>
          <cell r="I871" t="str">
            <v/>
          </cell>
        </row>
        <row r="872">
          <cell r="B872" t="str">
            <v>سيكسي 212 كارولينا هيريرا - نسائي</v>
          </cell>
          <cell r="C872" t="str">
            <v>إدخال</v>
          </cell>
          <cell r="G872">
            <v>1062</v>
          </cell>
          <cell r="H872" t="str">
            <v/>
          </cell>
          <cell r="I872" t="str">
            <v/>
          </cell>
        </row>
        <row r="873">
          <cell r="B873" t="str">
            <v>ويك اند بربري - نسائي</v>
          </cell>
          <cell r="C873" t="str">
            <v>إدخال</v>
          </cell>
          <cell r="G873">
            <v>490</v>
          </cell>
          <cell r="H873">
            <v>5</v>
          </cell>
          <cell r="I873">
            <v>2</v>
          </cell>
        </row>
        <row r="874">
          <cell r="B874" t="str">
            <v>ايل Y.S.L -نسائي</v>
          </cell>
          <cell r="C874" t="str">
            <v>إدخال</v>
          </cell>
          <cell r="G874">
            <v>744</v>
          </cell>
          <cell r="H874" t="str">
            <v/>
          </cell>
          <cell r="I874" t="str">
            <v/>
          </cell>
        </row>
        <row r="875">
          <cell r="B875" t="str">
            <v>ذا ون دولتشي اند غابانا - نسائي</v>
          </cell>
          <cell r="C875" t="str">
            <v>إدخال</v>
          </cell>
          <cell r="G875">
            <v>688</v>
          </cell>
          <cell r="H875" t="str">
            <v/>
          </cell>
          <cell r="I875" t="str">
            <v/>
          </cell>
        </row>
        <row r="876">
          <cell r="B876" t="str">
            <v>بلوم غوتشي - نسائي</v>
          </cell>
          <cell r="C876" t="str">
            <v>إدخال</v>
          </cell>
          <cell r="G876">
            <v>462</v>
          </cell>
          <cell r="H876" t="str">
            <v/>
          </cell>
          <cell r="I876" t="str">
            <v/>
          </cell>
        </row>
        <row r="877">
          <cell r="B877" t="str">
            <v>ارزا ستبل جيفينشي - نسائي</v>
          </cell>
          <cell r="C877" t="str">
            <v>إدخال</v>
          </cell>
          <cell r="G877">
            <v>527</v>
          </cell>
          <cell r="H877" t="str">
            <v/>
          </cell>
          <cell r="I877" t="str">
            <v/>
          </cell>
        </row>
        <row r="878">
          <cell r="B878" t="str">
            <v>انجل بورفام - نسائي</v>
          </cell>
          <cell r="C878" t="str">
            <v>إدخال</v>
          </cell>
          <cell r="G878">
            <v>411</v>
          </cell>
          <cell r="H878">
            <v>4</v>
          </cell>
          <cell r="I878">
            <v>6</v>
          </cell>
        </row>
        <row r="879">
          <cell r="B879" t="str">
            <v>في أي بي 212 كارولينا هيريرا- رجالي</v>
          </cell>
          <cell r="C879" t="str">
            <v>إدخال</v>
          </cell>
          <cell r="G879">
            <v>316</v>
          </cell>
          <cell r="H879">
            <v>3</v>
          </cell>
          <cell r="I879" t="str">
            <v>3ط2</v>
          </cell>
        </row>
        <row r="880">
          <cell r="B880" t="str">
            <v>لوليتا لامببيكا -  نسائي</v>
          </cell>
          <cell r="C880" t="str">
            <v>إدخال</v>
          </cell>
          <cell r="G880">
            <v>389</v>
          </cell>
          <cell r="H880" t="str">
            <v/>
          </cell>
          <cell r="I880" t="str">
            <v/>
          </cell>
        </row>
        <row r="881">
          <cell r="B881" t="str">
            <v>ليدي مليون باكورابان - نسائي</v>
          </cell>
          <cell r="C881" t="str">
            <v>إدخال</v>
          </cell>
          <cell r="G881">
            <v>382</v>
          </cell>
          <cell r="H881">
            <v>6</v>
          </cell>
          <cell r="I881">
            <v>4</v>
          </cell>
        </row>
        <row r="882">
          <cell r="B882" t="str">
            <v>اوريغانزا جيفينشي - نسائي</v>
          </cell>
          <cell r="C882" t="str">
            <v>إدخال</v>
          </cell>
          <cell r="G882">
            <v>121</v>
          </cell>
          <cell r="H882">
            <v>6</v>
          </cell>
          <cell r="I882">
            <v>3</v>
          </cell>
        </row>
        <row r="883">
          <cell r="B883" t="str">
            <v>بينك شيفون - يارا - نسائي</v>
          </cell>
          <cell r="C883" t="str">
            <v>إدخال</v>
          </cell>
          <cell r="G883">
            <v>508</v>
          </cell>
          <cell r="H883">
            <v>6</v>
          </cell>
          <cell r="I883">
            <v>3</v>
          </cell>
        </row>
        <row r="884">
          <cell r="B884" t="str">
            <v>لوف اذ هفنلي فيكتوريا سكرت - نسائي</v>
          </cell>
          <cell r="C884" t="str">
            <v>إدخال</v>
          </cell>
          <cell r="G884">
            <v>894</v>
          </cell>
          <cell r="H884">
            <v>5</v>
          </cell>
          <cell r="I884">
            <v>3</v>
          </cell>
        </row>
        <row r="885">
          <cell r="B885" t="str">
            <v>لافيبل لانكوم - نسائي</v>
          </cell>
          <cell r="C885" t="str">
            <v>إدخال</v>
          </cell>
          <cell r="G885">
            <v>374</v>
          </cell>
          <cell r="H885" t="str">
            <v/>
          </cell>
          <cell r="I885" t="str">
            <v/>
          </cell>
        </row>
        <row r="886">
          <cell r="B886" t="str">
            <v>سكاندل بايي نايت جامبول غوتيه -نسائي</v>
          </cell>
          <cell r="C886" t="str">
            <v>إدخال</v>
          </cell>
          <cell r="G886">
            <v>297</v>
          </cell>
          <cell r="H886">
            <v>4</v>
          </cell>
          <cell r="I886">
            <v>4</v>
          </cell>
        </row>
        <row r="887">
          <cell r="B887" t="str">
            <v>سيكسي كرافيتي سكادة - نسائي</v>
          </cell>
          <cell r="C887" t="str">
            <v>إدخال</v>
          </cell>
          <cell r="G887">
            <v>398</v>
          </cell>
          <cell r="H887" t="str">
            <v/>
          </cell>
          <cell r="I887" t="str">
            <v/>
          </cell>
        </row>
        <row r="888">
          <cell r="B888" t="str">
            <v>ماي واي جورجيو ارماني - نسائي</v>
          </cell>
          <cell r="C888" t="str">
            <v>إدخال</v>
          </cell>
          <cell r="G888">
            <v>505</v>
          </cell>
          <cell r="H888">
            <v>4</v>
          </cell>
          <cell r="I888">
            <v>1</v>
          </cell>
        </row>
        <row r="889">
          <cell r="B889" t="str">
            <v>انفي مي غوتشي - نسائي</v>
          </cell>
          <cell r="C889" t="str">
            <v>إدخال</v>
          </cell>
          <cell r="G889">
            <v>267</v>
          </cell>
          <cell r="H889" t="str">
            <v/>
          </cell>
          <cell r="I889" t="str">
            <v/>
          </cell>
        </row>
        <row r="890">
          <cell r="B890" t="str">
            <v>هوغو وومن - نسائي</v>
          </cell>
          <cell r="C890" t="str">
            <v>إدخال</v>
          </cell>
          <cell r="G890">
            <v>925</v>
          </cell>
          <cell r="H890">
            <v>6</v>
          </cell>
          <cell r="I890">
            <v>2</v>
          </cell>
        </row>
        <row r="891">
          <cell r="B891" t="str">
            <v>ايلين تيري منغلير - نسائي</v>
          </cell>
          <cell r="C891" t="str">
            <v>إدخال</v>
          </cell>
          <cell r="G891">
            <v>287</v>
          </cell>
          <cell r="H891" t="str">
            <v/>
          </cell>
          <cell r="I891" t="str">
            <v/>
          </cell>
        </row>
        <row r="892">
          <cell r="B892" t="str">
            <v>بربري فور هير - نسائي</v>
          </cell>
          <cell r="C892" t="str">
            <v>إدخال</v>
          </cell>
          <cell r="G892">
            <v>837</v>
          </cell>
          <cell r="H892">
            <v>4</v>
          </cell>
          <cell r="I892">
            <v>1</v>
          </cell>
        </row>
        <row r="893">
          <cell r="B893" t="str">
            <v>ليبر Y.S.L-نسائي</v>
          </cell>
          <cell r="C893" t="str">
            <v>إدخال</v>
          </cell>
          <cell r="G893">
            <v>534</v>
          </cell>
          <cell r="H893">
            <v>5</v>
          </cell>
          <cell r="I893">
            <v>5</v>
          </cell>
        </row>
        <row r="894">
          <cell r="B894" t="str">
            <v>بومب شيل فيكتوريا سيكرت - نسائي</v>
          </cell>
          <cell r="C894" t="str">
            <v>إدخال</v>
          </cell>
          <cell r="G894">
            <v>613</v>
          </cell>
          <cell r="H894">
            <v>4</v>
          </cell>
          <cell r="I894">
            <v>1</v>
          </cell>
        </row>
        <row r="895">
          <cell r="B895" t="str">
            <v>غيلتي بورفام غوتشي - نسائي</v>
          </cell>
          <cell r="C895" t="str">
            <v>إدخال</v>
          </cell>
          <cell r="G895">
            <v>179</v>
          </cell>
          <cell r="H895" t="str">
            <v/>
          </cell>
          <cell r="I895" t="str">
            <v/>
          </cell>
        </row>
        <row r="896">
          <cell r="B896" t="str">
            <v>نوا كشريل - نسائي</v>
          </cell>
          <cell r="C896" t="str">
            <v>إدخال</v>
          </cell>
          <cell r="G896">
            <v>137</v>
          </cell>
          <cell r="H896">
            <v>6</v>
          </cell>
          <cell r="I896">
            <v>1</v>
          </cell>
        </row>
        <row r="897">
          <cell r="B897" t="str">
            <v>جادور كريستيان ديور - نسائي</v>
          </cell>
          <cell r="C897" t="str">
            <v>إدخال</v>
          </cell>
          <cell r="G897">
            <v>507</v>
          </cell>
          <cell r="H897">
            <v>5</v>
          </cell>
          <cell r="I897">
            <v>5</v>
          </cell>
        </row>
        <row r="898">
          <cell r="B898" t="str">
            <v>توين ازارو - نسائي</v>
          </cell>
          <cell r="C898" t="str">
            <v>إدخال</v>
          </cell>
          <cell r="G898">
            <v>481</v>
          </cell>
          <cell r="H898" t="str">
            <v/>
          </cell>
          <cell r="I898" t="str">
            <v/>
          </cell>
        </row>
        <row r="899">
          <cell r="B899" t="str">
            <v>سيلفر داست - غبار الفضة - ميدنايت فانتازي - نسائي</v>
          </cell>
          <cell r="C899" t="str">
            <v>إدخال</v>
          </cell>
          <cell r="G899">
            <v>307</v>
          </cell>
          <cell r="H899">
            <v>5</v>
          </cell>
          <cell r="I899">
            <v>2</v>
          </cell>
        </row>
        <row r="900">
          <cell r="B900" t="str">
            <v xml:space="preserve"> بلاي جيفينشي - نسائي</v>
          </cell>
          <cell r="C900" t="str">
            <v>إدخال</v>
          </cell>
          <cell r="G900">
            <v>291</v>
          </cell>
          <cell r="H900" t="str">
            <v/>
          </cell>
          <cell r="I900" t="str">
            <v/>
          </cell>
        </row>
        <row r="901">
          <cell r="B901" t="str">
            <v>شانص اوتندر شانيل - نسائي</v>
          </cell>
          <cell r="C901" t="str">
            <v>إدخال</v>
          </cell>
          <cell r="G901">
            <v>424</v>
          </cell>
          <cell r="H901">
            <v>5</v>
          </cell>
          <cell r="I901">
            <v>4</v>
          </cell>
        </row>
        <row r="902">
          <cell r="B902" t="str">
            <v>بليجرز  استي لودر - نسائي</v>
          </cell>
          <cell r="C902" t="str">
            <v>إدخال</v>
          </cell>
          <cell r="G902">
            <v>574</v>
          </cell>
          <cell r="H902">
            <v>4</v>
          </cell>
          <cell r="I902">
            <v>4</v>
          </cell>
        </row>
        <row r="903">
          <cell r="B903" t="str">
            <v>اديكت كريستيان ديور - نسائي</v>
          </cell>
          <cell r="C903" t="str">
            <v>إدخال</v>
          </cell>
          <cell r="G903">
            <v>278</v>
          </cell>
          <cell r="H903" t="str">
            <v/>
          </cell>
          <cell r="I903" t="str">
            <v/>
          </cell>
        </row>
        <row r="904">
          <cell r="B904" t="str">
            <v>ديلينا بارفام ديمارلي - نسائي</v>
          </cell>
          <cell r="C904" t="str">
            <v>إدخال</v>
          </cell>
          <cell r="G904">
            <v>500</v>
          </cell>
          <cell r="H904">
            <v>4</v>
          </cell>
          <cell r="I904">
            <v>6</v>
          </cell>
        </row>
        <row r="905">
          <cell r="B905" t="str">
            <v>فيرت ملاكيت - ارماني برايف - للجنسين</v>
          </cell>
          <cell r="C905" t="str">
            <v>إدخال</v>
          </cell>
          <cell r="G905">
            <v>216</v>
          </cell>
          <cell r="H905" t="str">
            <v/>
          </cell>
          <cell r="I905" t="str">
            <v/>
          </cell>
        </row>
        <row r="906">
          <cell r="C906" t="str">
            <v>إدخال</v>
          </cell>
          <cell r="G906" t="str">
            <v/>
          </cell>
          <cell r="H906" t="str">
            <v/>
          </cell>
          <cell r="I906" t="str">
            <v/>
          </cell>
        </row>
        <row r="907">
          <cell r="C907" t="str">
            <v>إدخال</v>
          </cell>
          <cell r="G907" t="str">
            <v/>
          </cell>
          <cell r="H907" t="str">
            <v/>
          </cell>
          <cell r="I907" t="str">
            <v/>
          </cell>
        </row>
        <row r="908">
          <cell r="B908" t="str">
            <v>ارزا ستبل جيفينشي - نسائي</v>
          </cell>
          <cell r="C908" t="str">
            <v>إدخال</v>
          </cell>
          <cell r="G908">
            <v>1600</v>
          </cell>
          <cell r="H908" t="str">
            <v/>
          </cell>
          <cell r="I908" t="str">
            <v/>
          </cell>
        </row>
        <row r="909">
          <cell r="B909" t="str">
            <v>تاتش اوف بينك لاكوست - نسائي</v>
          </cell>
          <cell r="C909" t="str">
            <v>إدخال</v>
          </cell>
          <cell r="G909">
            <v>3650</v>
          </cell>
          <cell r="H909">
            <v>5</v>
          </cell>
          <cell r="I909">
            <v>5</v>
          </cell>
        </row>
        <row r="910">
          <cell r="B910" t="str">
            <v>في أي ابي 212كارولينا هيريرا - نسائي</v>
          </cell>
          <cell r="C910" t="str">
            <v>إدخال</v>
          </cell>
          <cell r="G910">
            <v>622</v>
          </cell>
          <cell r="H910">
            <v>6</v>
          </cell>
          <cell r="I910">
            <v>3</v>
          </cell>
        </row>
        <row r="911">
          <cell r="B911" t="str">
            <v>بلاك اكس اس باكورابان - نسائي</v>
          </cell>
          <cell r="C911" t="str">
            <v>إدخال</v>
          </cell>
          <cell r="G911">
            <v>871</v>
          </cell>
          <cell r="H911" t="str">
            <v/>
          </cell>
          <cell r="I911" t="str">
            <v/>
          </cell>
        </row>
        <row r="912">
          <cell r="B912" t="str">
            <v xml:space="preserve">مسك اسود الرحاب - للجنسين </v>
          </cell>
          <cell r="C912" t="str">
            <v>إدخال</v>
          </cell>
          <cell r="G912">
            <v>745</v>
          </cell>
          <cell r="H912" t="str">
            <v/>
          </cell>
          <cell r="I912" t="str">
            <v/>
          </cell>
        </row>
        <row r="913">
          <cell r="B913" t="str">
            <v xml:space="preserve">زهرة لافندر - للجنسين </v>
          </cell>
          <cell r="C913" t="str">
            <v>إدخال</v>
          </cell>
          <cell r="G913">
            <v>643</v>
          </cell>
          <cell r="H913" t="str">
            <v>مختوم ومسك</v>
          </cell>
          <cell r="I913" t="str">
            <v>-</v>
          </cell>
        </row>
        <row r="914">
          <cell r="B914" t="str">
            <v>نوتة عنبر - للجنسين</v>
          </cell>
          <cell r="C914" t="str">
            <v>إدخال</v>
          </cell>
          <cell r="G914">
            <v>694</v>
          </cell>
          <cell r="H914">
            <v>6</v>
          </cell>
          <cell r="I914">
            <v>2</v>
          </cell>
        </row>
        <row r="915">
          <cell r="B915" t="str">
            <v>ريحان</v>
          </cell>
          <cell r="C915" t="str">
            <v>إدخال</v>
          </cell>
          <cell r="G915">
            <v>826</v>
          </cell>
          <cell r="H915" t="str">
            <v/>
          </cell>
          <cell r="I915" t="str">
            <v/>
          </cell>
        </row>
        <row r="916">
          <cell r="B916" t="str">
            <v>كوروس Y.S.L -رجالي</v>
          </cell>
          <cell r="C916" t="str">
            <v>إدخال</v>
          </cell>
          <cell r="G916">
            <v>736</v>
          </cell>
          <cell r="H916" t="str">
            <v/>
          </cell>
          <cell r="I916" t="str">
            <v/>
          </cell>
        </row>
        <row r="917">
          <cell r="C917" t="str">
            <v>إدخال</v>
          </cell>
          <cell r="G917" t="str">
            <v/>
          </cell>
          <cell r="H917" t="str">
            <v/>
          </cell>
          <cell r="I917" t="str">
            <v/>
          </cell>
        </row>
        <row r="918">
          <cell r="B918" t="str">
            <v>مونتانا - نسائي</v>
          </cell>
          <cell r="C918" t="str">
            <v>إدخال</v>
          </cell>
          <cell r="G918">
            <v>2000</v>
          </cell>
          <cell r="H918" t="str">
            <v/>
          </cell>
          <cell r="I918" t="str">
            <v/>
          </cell>
        </row>
        <row r="919">
          <cell r="B919" t="str">
            <v>مدام روشه - نسائي</v>
          </cell>
          <cell r="C919" t="str">
            <v>إدخال</v>
          </cell>
          <cell r="G919">
            <v>1000</v>
          </cell>
          <cell r="H919" t="str">
            <v/>
          </cell>
          <cell r="I919" t="str">
            <v/>
          </cell>
        </row>
        <row r="920">
          <cell r="B920" t="str">
            <v>بوازون - كوبرا - نسائي</v>
          </cell>
          <cell r="C920" t="str">
            <v>إدخال</v>
          </cell>
          <cell r="G920">
            <v>2000</v>
          </cell>
          <cell r="H920" t="str">
            <v/>
          </cell>
          <cell r="I920" t="str">
            <v/>
          </cell>
        </row>
        <row r="921">
          <cell r="B921" t="str">
            <v>سمسارة غيرلان - نسائي</v>
          </cell>
          <cell r="C921" t="str">
            <v>إدخال</v>
          </cell>
          <cell r="G921">
            <v>1000</v>
          </cell>
          <cell r="H921" t="str">
            <v/>
          </cell>
          <cell r="I921" t="str">
            <v/>
          </cell>
        </row>
        <row r="922">
          <cell r="B922" t="str">
            <v>بينك شوغر - انا والشوق - نسائي</v>
          </cell>
          <cell r="C922" t="str">
            <v>إدخال</v>
          </cell>
          <cell r="G922">
            <v>2000</v>
          </cell>
          <cell r="H922" t="str">
            <v/>
          </cell>
          <cell r="I922" t="str">
            <v/>
          </cell>
        </row>
        <row r="923">
          <cell r="G923" t="str">
            <v/>
          </cell>
          <cell r="H923" t="str">
            <v/>
          </cell>
          <cell r="I923" t="str">
            <v/>
          </cell>
        </row>
        <row r="924">
          <cell r="B924" t="str">
            <v>جي جورجيو بيفرلي هيلز - نسائي</v>
          </cell>
          <cell r="C924" t="str">
            <v>إخراج</v>
          </cell>
          <cell r="G924">
            <v>500</v>
          </cell>
          <cell r="H924">
            <v>5</v>
          </cell>
          <cell r="I924">
            <v>5</v>
          </cell>
        </row>
        <row r="925">
          <cell r="B925" t="str">
            <v xml:space="preserve">توماس كوسمالا 4 - للجنسين </v>
          </cell>
          <cell r="C925" t="str">
            <v>إخراج</v>
          </cell>
          <cell r="G925">
            <v>200</v>
          </cell>
          <cell r="H925">
            <v>3</v>
          </cell>
          <cell r="I925">
            <v>4</v>
          </cell>
        </row>
        <row r="926">
          <cell r="B926" t="str">
            <v>بينك شيفون - يارا - نسائي</v>
          </cell>
          <cell r="C926" t="str">
            <v>إخراج</v>
          </cell>
          <cell r="G926">
            <v>300</v>
          </cell>
          <cell r="H926">
            <v>6</v>
          </cell>
          <cell r="I926">
            <v>3</v>
          </cell>
        </row>
        <row r="927">
          <cell r="B927" t="str">
            <v>جادور كريستيان ديور - نسائي</v>
          </cell>
          <cell r="C927" t="str">
            <v>إخراج</v>
          </cell>
          <cell r="G927">
            <v>200</v>
          </cell>
          <cell r="H927">
            <v>5</v>
          </cell>
          <cell r="I927">
            <v>5</v>
          </cell>
        </row>
        <row r="928">
          <cell r="B928" t="str">
            <v>سترونغر وذ يو امبريو ارماني - رجالي</v>
          </cell>
          <cell r="C928" t="str">
            <v>إخراج</v>
          </cell>
          <cell r="G928">
            <v>200</v>
          </cell>
          <cell r="H928">
            <v>3</v>
          </cell>
          <cell r="I928">
            <v>5</v>
          </cell>
        </row>
        <row r="929">
          <cell r="B929" t="str">
            <v>فوياج  اراميس - رجالي</v>
          </cell>
          <cell r="C929" t="str">
            <v>إخراج</v>
          </cell>
          <cell r="G929">
            <v>200</v>
          </cell>
          <cell r="H929">
            <v>3</v>
          </cell>
          <cell r="I929">
            <v>2</v>
          </cell>
        </row>
        <row r="930">
          <cell r="B930" t="str">
            <v>سترونغر وذ يو امبريو ارماني - رجالي</v>
          </cell>
          <cell r="C930" t="str">
            <v>إخراج</v>
          </cell>
          <cell r="G930">
            <v>300</v>
          </cell>
          <cell r="H930">
            <v>3</v>
          </cell>
          <cell r="I930">
            <v>5</v>
          </cell>
        </row>
        <row r="931">
          <cell r="B931" t="str">
            <v>بومب شيل فيكتوريا سيكرت - نسائي</v>
          </cell>
          <cell r="C931" t="str">
            <v>إخراج</v>
          </cell>
          <cell r="G931">
            <v>555</v>
          </cell>
          <cell r="H931">
            <v>4</v>
          </cell>
          <cell r="I931">
            <v>1</v>
          </cell>
        </row>
        <row r="932">
          <cell r="B932" t="str">
            <v>اربابورا  سوسبيرو - رجالي</v>
          </cell>
          <cell r="C932" t="str">
            <v>إخراج</v>
          </cell>
          <cell r="G932">
            <v>200</v>
          </cell>
          <cell r="H932">
            <v>3</v>
          </cell>
          <cell r="I932">
            <v>2</v>
          </cell>
        </row>
        <row r="933">
          <cell r="B933" t="str">
            <v xml:space="preserve">بارادايس غاردن  جامبول غويته - رجالي </v>
          </cell>
          <cell r="C933" t="str">
            <v>إخراج</v>
          </cell>
          <cell r="G933">
            <v>200</v>
          </cell>
          <cell r="H933">
            <v>3</v>
          </cell>
          <cell r="I933" t="str">
            <v>1ط2</v>
          </cell>
        </row>
        <row r="934">
          <cell r="B934" t="str">
            <v xml:space="preserve">لوكس - للجنسين </v>
          </cell>
          <cell r="C934" t="str">
            <v>إخراج</v>
          </cell>
          <cell r="G934">
            <v>211</v>
          </cell>
          <cell r="H934">
            <v>6</v>
          </cell>
          <cell r="I934">
            <v>4</v>
          </cell>
        </row>
        <row r="935">
          <cell r="B935" t="str">
            <v>ستيلر تايم - ايمرالد - للجنسين</v>
          </cell>
          <cell r="C935" t="str">
            <v>إخراج</v>
          </cell>
          <cell r="G935">
            <v>200</v>
          </cell>
          <cell r="H935">
            <v>3</v>
          </cell>
          <cell r="I935">
            <v>7</v>
          </cell>
        </row>
        <row r="936">
          <cell r="B936" t="str">
            <v>ايماجينيشن L.V - رجالي</v>
          </cell>
          <cell r="C936" t="str">
            <v>إخراج</v>
          </cell>
          <cell r="G936">
            <v>200</v>
          </cell>
          <cell r="H936">
            <v>3</v>
          </cell>
          <cell r="I936">
            <v>7</v>
          </cell>
        </row>
        <row r="937">
          <cell r="B937" t="str">
            <v>سوفاج كريستيان ديور - رجالي</v>
          </cell>
          <cell r="C937" t="str">
            <v>إخراج</v>
          </cell>
          <cell r="G937">
            <v>262</v>
          </cell>
          <cell r="H937">
            <v>3</v>
          </cell>
          <cell r="I937">
            <v>7</v>
          </cell>
        </row>
        <row r="938">
          <cell r="B938" t="str">
            <v>لوف اذ هفنلي فيكتوريا سكرت - نسائي</v>
          </cell>
          <cell r="C938" t="str">
            <v>إخراج</v>
          </cell>
          <cell r="G938">
            <v>200</v>
          </cell>
          <cell r="H938">
            <v>5</v>
          </cell>
          <cell r="I938">
            <v>3</v>
          </cell>
        </row>
        <row r="939">
          <cell r="B939" t="str">
            <v>موست وانتد ازارو - رجالي</v>
          </cell>
          <cell r="C939" t="str">
            <v>إخراج</v>
          </cell>
          <cell r="G939">
            <v>500</v>
          </cell>
          <cell r="H939">
            <v>3</v>
          </cell>
          <cell r="I939">
            <v>3</v>
          </cell>
        </row>
        <row r="940">
          <cell r="B940" t="str">
            <v>روز فانيل مانسيرا - للجنسين</v>
          </cell>
          <cell r="C940" t="str">
            <v>إخراج</v>
          </cell>
          <cell r="G940">
            <v>200</v>
          </cell>
          <cell r="H940">
            <v>5</v>
          </cell>
          <cell r="I940">
            <v>1</v>
          </cell>
        </row>
        <row r="941">
          <cell r="B941" t="str">
            <v>لاكوست وايت - رجالي</v>
          </cell>
          <cell r="C941" t="str">
            <v>إخراج</v>
          </cell>
          <cell r="G941">
            <v>200</v>
          </cell>
          <cell r="H941">
            <v>3</v>
          </cell>
          <cell r="I941">
            <v>4</v>
          </cell>
        </row>
        <row r="942">
          <cell r="B942" t="str">
            <v>بينك شيفون - يارا - نسائي</v>
          </cell>
          <cell r="C942" t="str">
            <v>إخراج</v>
          </cell>
          <cell r="G942">
            <v>200</v>
          </cell>
          <cell r="H942">
            <v>6</v>
          </cell>
          <cell r="I942">
            <v>3</v>
          </cell>
        </row>
        <row r="943">
          <cell r="B943" t="str">
            <v>سنشوال جوهان بي - نسائي</v>
          </cell>
          <cell r="C943" t="str">
            <v>إخراج</v>
          </cell>
          <cell r="G943">
            <v>250</v>
          </cell>
          <cell r="H943">
            <v>5</v>
          </cell>
          <cell r="I943">
            <v>3</v>
          </cell>
        </row>
        <row r="944">
          <cell r="B944" t="str">
            <v>اربابورا  سوسبيرو - رجالي</v>
          </cell>
          <cell r="C944" t="str">
            <v>إخراج</v>
          </cell>
          <cell r="G944">
            <v>200</v>
          </cell>
          <cell r="H944">
            <v>3</v>
          </cell>
          <cell r="I944">
            <v>2</v>
          </cell>
        </row>
        <row r="945">
          <cell r="B945" t="str">
            <v>ديزاير دينهيل - رجالي</v>
          </cell>
          <cell r="C945" t="str">
            <v>إخراج</v>
          </cell>
          <cell r="G945">
            <v>235</v>
          </cell>
          <cell r="H945">
            <v>1</v>
          </cell>
          <cell r="I945">
            <v>5</v>
          </cell>
        </row>
        <row r="946">
          <cell r="B946" t="str">
            <v>غود غيرل كارولينا هيريرا - نسائي</v>
          </cell>
          <cell r="C946" t="str">
            <v>إخراج</v>
          </cell>
          <cell r="G946">
            <v>250</v>
          </cell>
          <cell r="H946">
            <v>5</v>
          </cell>
          <cell r="I946">
            <v>4</v>
          </cell>
        </row>
        <row r="947">
          <cell r="B947" t="str">
            <v>موست وانتد ازارو - رجالي</v>
          </cell>
          <cell r="C947" t="str">
            <v>إخراج</v>
          </cell>
          <cell r="G947">
            <v>260</v>
          </cell>
          <cell r="H947">
            <v>3</v>
          </cell>
          <cell r="I947">
            <v>3</v>
          </cell>
        </row>
        <row r="948">
          <cell r="B948" t="str">
            <v>جي جورجيو بيفرلي هيلز - نسائي</v>
          </cell>
          <cell r="C948" t="str">
            <v>إخراج</v>
          </cell>
          <cell r="G948">
            <v>450</v>
          </cell>
          <cell r="H948">
            <v>5</v>
          </cell>
          <cell r="I948">
            <v>5</v>
          </cell>
        </row>
        <row r="949">
          <cell r="B949" t="str">
            <v>جي جورجيو بيفرلي هيلز - نسائي</v>
          </cell>
          <cell r="C949" t="str">
            <v>إخراج</v>
          </cell>
          <cell r="G949">
            <v>358</v>
          </cell>
          <cell r="H949">
            <v>5</v>
          </cell>
          <cell r="I949">
            <v>5</v>
          </cell>
        </row>
        <row r="950">
          <cell r="B950" t="str">
            <v>رالف رولين - روج - نسائي</v>
          </cell>
          <cell r="C950" t="str">
            <v>إخراج</v>
          </cell>
          <cell r="G950">
            <v>309</v>
          </cell>
          <cell r="H950">
            <v>5</v>
          </cell>
          <cell r="I950">
            <v>6</v>
          </cell>
        </row>
        <row r="951">
          <cell r="B951" t="str">
            <v>سترونغر وذ يو امبريو ارماني - رجالي</v>
          </cell>
          <cell r="C951" t="str">
            <v>إخراج</v>
          </cell>
          <cell r="G951">
            <v>509</v>
          </cell>
          <cell r="H951">
            <v>3</v>
          </cell>
          <cell r="I951">
            <v>5</v>
          </cell>
        </row>
        <row r="952">
          <cell r="B952" t="str">
            <v>شمام - للجنسين</v>
          </cell>
          <cell r="C952" t="str">
            <v>إخراج</v>
          </cell>
          <cell r="G952">
            <v>268</v>
          </cell>
          <cell r="H952" t="str">
            <v/>
          </cell>
          <cell r="I952" t="str">
            <v/>
          </cell>
        </row>
        <row r="953">
          <cell r="B953" t="str">
            <v xml:space="preserve">مسك طهارة شفاف - مسك قرشي - للجنسين </v>
          </cell>
          <cell r="C953" t="str">
            <v>إخراج</v>
          </cell>
          <cell r="G953">
            <v>108</v>
          </cell>
          <cell r="H953">
            <v>6</v>
          </cell>
          <cell r="I953">
            <v>6</v>
          </cell>
        </row>
        <row r="954">
          <cell r="B954" t="str">
            <v>مسك رمان إبراهيم قرشي -للجنسين</v>
          </cell>
          <cell r="C954" t="str">
            <v>إخراج</v>
          </cell>
          <cell r="G954">
            <v>0</v>
          </cell>
          <cell r="H954" t="str">
            <v>مختوم ومسك</v>
          </cell>
          <cell r="I954" t="str">
            <v>-</v>
          </cell>
        </row>
        <row r="955">
          <cell r="B955" t="str">
            <v xml:space="preserve">مسك باودر إبراهيم القرشي - للجنسين </v>
          </cell>
          <cell r="C955" t="str">
            <v>إدخال</v>
          </cell>
          <cell r="G955">
            <v>1000</v>
          </cell>
          <cell r="H955" t="str">
            <v>مختوم ومسك</v>
          </cell>
          <cell r="I955" t="str">
            <v>-</v>
          </cell>
        </row>
        <row r="956">
          <cell r="B956" t="str">
            <v xml:space="preserve">مسك باودر إبراهيم القرشي - للجنسين </v>
          </cell>
          <cell r="C956" t="str">
            <v>إخراج</v>
          </cell>
          <cell r="G956">
            <v>224</v>
          </cell>
          <cell r="H956" t="str">
            <v>مختوم ومسك</v>
          </cell>
          <cell r="I956" t="str">
            <v>-</v>
          </cell>
        </row>
        <row r="957">
          <cell r="B957" t="str">
            <v xml:space="preserve">فلور ناركوتيك اكسنيهيلو - للجنسين </v>
          </cell>
          <cell r="C957" t="str">
            <v>إخراج</v>
          </cell>
          <cell r="G957">
            <v>200</v>
          </cell>
          <cell r="H957">
            <v>4</v>
          </cell>
          <cell r="I957">
            <v>6</v>
          </cell>
        </row>
        <row r="958">
          <cell r="B958" t="str">
            <v>ليمو سيتي L.V - رجالي</v>
          </cell>
          <cell r="C958" t="str">
            <v>إخراج</v>
          </cell>
          <cell r="G958">
            <v>130</v>
          </cell>
          <cell r="H958" t="str">
            <v/>
          </cell>
          <cell r="I958" t="str">
            <v/>
          </cell>
        </row>
        <row r="959">
          <cell r="B959" t="str">
            <v>غود غيرل كارولينا هيريرا - نسائي</v>
          </cell>
          <cell r="C959" t="str">
            <v>إخراج</v>
          </cell>
          <cell r="G959">
            <v>100</v>
          </cell>
          <cell r="H959">
            <v>5</v>
          </cell>
          <cell r="I959">
            <v>4</v>
          </cell>
        </row>
        <row r="960">
          <cell r="B960" t="str">
            <v xml:space="preserve">توماس كوسمالا 4 - للجنسين </v>
          </cell>
          <cell r="C960" t="str">
            <v>إخراج</v>
          </cell>
          <cell r="G960">
            <v>315</v>
          </cell>
          <cell r="H960">
            <v>3</v>
          </cell>
          <cell r="I960">
            <v>4</v>
          </cell>
        </row>
        <row r="961">
          <cell r="B961" t="str">
            <v>برادا بارادوكس - نسائي</v>
          </cell>
          <cell r="C961" t="str">
            <v>إخراج</v>
          </cell>
          <cell r="G961">
            <v>296</v>
          </cell>
          <cell r="H961" t="str">
            <v/>
          </cell>
          <cell r="I961" t="str">
            <v/>
          </cell>
        </row>
        <row r="962">
          <cell r="B962" t="str">
            <v>هامول - للجنسين</v>
          </cell>
          <cell r="C962" t="str">
            <v>إخراج</v>
          </cell>
          <cell r="G962">
            <v>295</v>
          </cell>
          <cell r="H962">
            <v>4</v>
          </cell>
          <cell r="I962">
            <v>1</v>
          </cell>
        </row>
        <row r="963">
          <cell r="B963" t="str">
            <v>شانيل 5 - نسائي</v>
          </cell>
          <cell r="C963" t="str">
            <v>إخراج</v>
          </cell>
          <cell r="G963">
            <v>53</v>
          </cell>
          <cell r="H963">
            <v>4</v>
          </cell>
          <cell r="I963">
            <v>2</v>
          </cell>
        </row>
        <row r="964">
          <cell r="B964" t="str">
            <v>بي جيفينشي - رجالي</v>
          </cell>
          <cell r="C964" t="str">
            <v>إخراج</v>
          </cell>
          <cell r="G964">
            <v>100</v>
          </cell>
          <cell r="H964" t="str">
            <v/>
          </cell>
          <cell r="I964" t="str">
            <v/>
          </cell>
        </row>
        <row r="965">
          <cell r="B965" t="str">
            <v>بربري فور هير - نسائي</v>
          </cell>
          <cell r="C965" t="str">
            <v>إخراج</v>
          </cell>
          <cell r="G965">
            <v>512</v>
          </cell>
          <cell r="H965">
            <v>4</v>
          </cell>
          <cell r="I965">
            <v>1</v>
          </cell>
        </row>
        <row r="966">
          <cell r="B966" t="str">
            <v>بينك شيفون - يارا - نسائي</v>
          </cell>
          <cell r="C966" t="str">
            <v>إخراج</v>
          </cell>
          <cell r="G966">
            <v>150</v>
          </cell>
          <cell r="H966">
            <v>6</v>
          </cell>
          <cell r="I966">
            <v>3</v>
          </cell>
        </row>
        <row r="967">
          <cell r="B967" t="str">
            <v xml:space="preserve">مسك ابيض إبراهيم القرشي - للجنسين </v>
          </cell>
          <cell r="C967" t="str">
            <v>إخراج</v>
          </cell>
          <cell r="G967">
            <v>300</v>
          </cell>
          <cell r="H967">
            <v>3</v>
          </cell>
          <cell r="I967">
            <v>5</v>
          </cell>
        </row>
        <row r="968">
          <cell r="B968" t="str">
            <v>ماتري بريميير - للجنسين</v>
          </cell>
          <cell r="C968" t="str">
            <v>إخراج</v>
          </cell>
          <cell r="G968">
            <v>311</v>
          </cell>
          <cell r="H968">
            <v>6</v>
          </cell>
          <cell r="I968">
            <v>4</v>
          </cell>
        </row>
        <row r="969">
          <cell r="B969" t="str">
            <v>روبيرتو كافالي - نسائي</v>
          </cell>
          <cell r="C969" t="str">
            <v>إخراج</v>
          </cell>
          <cell r="G969">
            <v>200</v>
          </cell>
          <cell r="H969" t="str">
            <v/>
          </cell>
          <cell r="I969" t="str">
            <v/>
          </cell>
        </row>
        <row r="970">
          <cell r="B970" t="str">
            <v>مون باريس Y.S.L - نسائي</v>
          </cell>
          <cell r="C970" t="str">
            <v>إخراج</v>
          </cell>
          <cell r="G970">
            <v>200</v>
          </cell>
          <cell r="H970">
            <v>4</v>
          </cell>
          <cell r="I970">
            <v>3</v>
          </cell>
        </row>
        <row r="971">
          <cell r="B971" t="str">
            <v>ليبر Y.S.L-نسائي</v>
          </cell>
          <cell r="C971" t="str">
            <v>إخراج</v>
          </cell>
          <cell r="G971">
            <v>200</v>
          </cell>
          <cell r="H971">
            <v>5</v>
          </cell>
          <cell r="I971">
            <v>5</v>
          </cell>
        </row>
        <row r="972">
          <cell r="B972" t="str">
            <v>كلمات العربية للعود - للجنسين</v>
          </cell>
          <cell r="C972" t="str">
            <v>إخراج</v>
          </cell>
          <cell r="G972">
            <v>200</v>
          </cell>
          <cell r="H972">
            <v>3</v>
          </cell>
          <cell r="I972">
            <v>6</v>
          </cell>
        </row>
        <row r="973">
          <cell r="B973" t="str">
            <v>انرجايس هوغو - رجالي</v>
          </cell>
          <cell r="C973" t="str">
            <v>إخراج</v>
          </cell>
          <cell r="G973">
            <v>200</v>
          </cell>
          <cell r="H973">
            <v>1</v>
          </cell>
          <cell r="I973">
            <v>3</v>
          </cell>
        </row>
        <row r="974">
          <cell r="B974" t="str">
            <v>جادور كريستيان ديور - نسائي</v>
          </cell>
          <cell r="C974" t="str">
            <v>إخراج</v>
          </cell>
          <cell r="G974">
            <v>250</v>
          </cell>
          <cell r="H974">
            <v>5</v>
          </cell>
          <cell r="I974">
            <v>5</v>
          </cell>
        </row>
        <row r="975">
          <cell r="B975" t="str">
            <v>سيلفر مونتن - كريد ابيض - الوسام - رجالي</v>
          </cell>
          <cell r="C975" t="str">
            <v>إخراج</v>
          </cell>
          <cell r="G975">
            <v>400</v>
          </cell>
          <cell r="H975">
            <v>3</v>
          </cell>
          <cell r="I975">
            <v>4</v>
          </cell>
        </row>
        <row r="976">
          <cell r="B976" t="str">
            <v>بكرات روج mfk -للجنسين</v>
          </cell>
          <cell r="C976" t="str">
            <v>إخراج</v>
          </cell>
          <cell r="G976">
            <v>400</v>
          </cell>
          <cell r="H976">
            <v>3</v>
          </cell>
          <cell r="I976">
            <v>3</v>
          </cell>
        </row>
        <row r="977">
          <cell r="B977" t="str">
            <v>سكاندل بايي نايت جامبول غوتيه -نسائي</v>
          </cell>
          <cell r="C977" t="str">
            <v>إخراج</v>
          </cell>
          <cell r="G977">
            <v>400</v>
          </cell>
          <cell r="H977">
            <v>4</v>
          </cell>
          <cell r="I977">
            <v>4</v>
          </cell>
        </row>
        <row r="978">
          <cell r="B978" t="str">
            <v>رالف رولين - روج - نسائي</v>
          </cell>
          <cell r="C978" t="str">
            <v>إخراج</v>
          </cell>
          <cell r="G978">
            <v>187</v>
          </cell>
          <cell r="H978">
            <v>5</v>
          </cell>
          <cell r="I978">
            <v>6</v>
          </cell>
        </row>
        <row r="979">
          <cell r="B979" t="str">
            <v>مونت بلانك ليجينت - رجاليي</v>
          </cell>
          <cell r="C979" t="str">
            <v>إخراج</v>
          </cell>
          <cell r="G979">
            <v>300</v>
          </cell>
          <cell r="H979">
            <v>3</v>
          </cell>
          <cell r="I979">
            <v>1</v>
          </cell>
        </row>
        <row r="980">
          <cell r="B980" t="str">
            <v>كيالي فانيل  28 - نسائي</v>
          </cell>
          <cell r="C980" t="str">
            <v>إخراج</v>
          </cell>
          <cell r="G980">
            <v>300</v>
          </cell>
          <cell r="H980">
            <v>6</v>
          </cell>
          <cell r="I980">
            <v>6</v>
          </cell>
        </row>
        <row r="981">
          <cell r="B981" t="str">
            <v>لوف اذ هفنلي فيكتوريا سكرت - نسائي</v>
          </cell>
          <cell r="C981" t="str">
            <v>إخراج</v>
          </cell>
          <cell r="G981">
            <v>300</v>
          </cell>
          <cell r="H981">
            <v>5</v>
          </cell>
          <cell r="I981">
            <v>3</v>
          </cell>
        </row>
        <row r="982">
          <cell r="B982" t="str">
            <v>عود مضاوي العربية للعود - للجنسين</v>
          </cell>
          <cell r="C982" t="str">
            <v>إخراج</v>
          </cell>
          <cell r="G982">
            <v>300</v>
          </cell>
          <cell r="H982">
            <v>1</v>
          </cell>
          <cell r="I982">
            <v>2</v>
          </cell>
        </row>
        <row r="983">
          <cell r="B983" t="str">
            <v>كول ووتر دافيدوف -رجالي</v>
          </cell>
          <cell r="C983" t="str">
            <v>إخراج</v>
          </cell>
          <cell r="G983">
            <v>400</v>
          </cell>
          <cell r="H983">
            <v>2</v>
          </cell>
          <cell r="I983">
            <v>3</v>
          </cell>
        </row>
        <row r="984">
          <cell r="B984" t="str">
            <v>سنشوال جوهان بي - نسائي</v>
          </cell>
          <cell r="C984" t="str">
            <v>إخراج</v>
          </cell>
          <cell r="G984">
            <v>200</v>
          </cell>
          <cell r="H984">
            <v>5</v>
          </cell>
          <cell r="I984">
            <v>3</v>
          </cell>
        </row>
        <row r="985">
          <cell r="B985" t="str">
            <v>انفكتوس باكورابان - رجالي</v>
          </cell>
          <cell r="C985" t="str">
            <v>إخراج</v>
          </cell>
          <cell r="G985">
            <v>200</v>
          </cell>
          <cell r="H985">
            <v>3</v>
          </cell>
          <cell r="I985">
            <v>5</v>
          </cell>
        </row>
        <row r="986">
          <cell r="B986" t="str">
            <v>الثائر بارفان دي مارلي - رجالي</v>
          </cell>
          <cell r="C986" t="str">
            <v>إخراج</v>
          </cell>
          <cell r="G986">
            <v>400</v>
          </cell>
          <cell r="H986">
            <v>1</v>
          </cell>
          <cell r="I986">
            <v>3</v>
          </cell>
        </row>
        <row r="987">
          <cell r="B987" t="str">
            <v>اربابورا  سوسبيرو - رجالي</v>
          </cell>
          <cell r="C987" t="str">
            <v>إخراج</v>
          </cell>
          <cell r="G987">
            <v>200</v>
          </cell>
          <cell r="H987">
            <v>3</v>
          </cell>
          <cell r="I987">
            <v>2</v>
          </cell>
        </row>
        <row r="988">
          <cell r="B988" t="str">
            <v>ديزاير دينهيل - رجالي</v>
          </cell>
          <cell r="C988" t="str">
            <v>إخراج</v>
          </cell>
          <cell r="G988">
            <v>255</v>
          </cell>
          <cell r="H988">
            <v>1</v>
          </cell>
          <cell r="I988">
            <v>5</v>
          </cell>
        </row>
        <row r="989">
          <cell r="B989" t="str">
            <v xml:space="preserve">سلك مسك رصاصي - لاكشري مسك - للجنسين </v>
          </cell>
          <cell r="C989" t="str">
            <v>إخراج</v>
          </cell>
          <cell r="G989">
            <v>215</v>
          </cell>
          <cell r="H989">
            <v>3</v>
          </cell>
          <cell r="I989">
            <v>1</v>
          </cell>
        </row>
        <row r="990">
          <cell r="B990" t="str">
            <v>فلانتينو في - دارج رصاصي - رجالي</v>
          </cell>
          <cell r="C990" t="str">
            <v>إخراج</v>
          </cell>
          <cell r="G990">
            <v>80</v>
          </cell>
          <cell r="H990">
            <v>2</v>
          </cell>
          <cell r="I990">
            <v>5</v>
          </cell>
        </row>
        <row r="991">
          <cell r="B991" t="str">
            <v>سترونغر وذ يو امبريو ارماني - رجالي</v>
          </cell>
          <cell r="C991" t="str">
            <v>إخراج</v>
          </cell>
          <cell r="G991">
            <v>500</v>
          </cell>
          <cell r="H991">
            <v>3</v>
          </cell>
          <cell r="I991">
            <v>5</v>
          </cell>
        </row>
        <row r="992">
          <cell r="B992" t="str">
            <v>بلاك اكس اس ليكزس باكورابان - رجالي</v>
          </cell>
          <cell r="C992" t="str">
            <v>إخراج</v>
          </cell>
          <cell r="G992">
            <v>265</v>
          </cell>
          <cell r="H992" t="str">
            <v/>
          </cell>
          <cell r="I992" t="str">
            <v/>
          </cell>
        </row>
        <row r="993">
          <cell r="B993" t="str">
            <v>بربري فور هير - نسائي</v>
          </cell>
          <cell r="C993" t="str">
            <v>إخراج</v>
          </cell>
          <cell r="G993">
            <v>120</v>
          </cell>
          <cell r="H993">
            <v>4</v>
          </cell>
          <cell r="I993">
            <v>1</v>
          </cell>
        </row>
        <row r="994">
          <cell r="B994" t="str">
            <v>غود غيرل كارولينا هيريرا - نسائي</v>
          </cell>
          <cell r="C994" t="str">
            <v>إخراج</v>
          </cell>
          <cell r="G994">
            <v>200</v>
          </cell>
          <cell r="H994">
            <v>5</v>
          </cell>
          <cell r="I994">
            <v>4</v>
          </cell>
        </row>
        <row r="995">
          <cell r="B995" t="str">
            <v>اكسينتو اكس ارجوف - للجنسين</v>
          </cell>
          <cell r="C995" t="str">
            <v>إخراج</v>
          </cell>
          <cell r="G995">
            <v>369</v>
          </cell>
          <cell r="H995">
            <v>2</v>
          </cell>
          <cell r="I995">
            <v>3</v>
          </cell>
        </row>
        <row r="996">
          <cell r="B996" t="str">
            <v>سكاندل بايي نايت جامبول غوتيه -نسائي</v>
          </cell>
          <cell r="C996" t="str">
            <v>إخراج</v>
          </cell>
          <cell r="G996">
            <v>300</v>
          </cell>
          <cell r="H996">
            <v>4</v>
          </cell>
          <cell r="I996">
            <v>4</v>
          </cell>
        </row>
        <row r="997">
          <cell r="B997" t="str">
            <v>بكرات روج mfk -للجنسين</v>
          </cell>
          <cell r="C997" t="str">
            <v>إخراج</v>
          </cell>
          <cell r="G997">
            <v>200</v>
          </cell>
          <cell r="H997">
            <v>3</v>
          </cell>
          <cell r="I997">
            <v>3</v>
          </cell>
        </row>
        <row r="998">
          <cell r="B998" t="str">
            <v>اربابورا  سوسبيرو - رجالي</v>
          </cell>
          <cell r="C998" t="str">
            <v>إخراج</v>
          </cell>
          <cell r="G998">
            <v>260</v>
          </cell>
          <cell r="H998">
            <v>3</v>
          </cell>
          <cell r="I998">
            <v>2</v>
          </cell>
        </row>
        <row r="999">
          <cell r="B999" t="str">
            <v>امبريال فاليه قصة - للجنسين</v>
          </cell>
          <cell r="C999" t="str">
            <v>إخراج</v>
          </cell>
          <cell r="G999">
            <v>182</v>
          </cell>
          <cell r="H999">
            <v>2</v>
          </cell>
          <cell r="I999">
            <v>6</v>
          </cell>
        </row>
        <row r="1000">
          <cell r="B1000" t="str">
            <v>ايماجينيشن L.V - رجالي</v>
          </cell>
          <cell r="C1000" t="str">
            <v>إخراج</v>
          </cell>
          <cell r="G1000">
            <v>230</v>
          </cell>
          <cell r="H1000">
            <v>3</v>
          </cell>
          <cell r="I1000">
            <v>7</v>
          </cell>
        </row>
        <row r="1001">
          <cell r="B1001" t="str">
            <v>روبيرتو كافالي - نسائي</v>
          </cell>
          <cell r="C1001" t="str">
            <v>إخراج</v>
          </cell>
          <cell r="G1001">
            <v>200</v>
          </cell>
        </row>
        <row r="1002">
          <cell r="B1002" t="str">
            <v>ازارو بورهوم - رجالي</v>
          </cell>
          <cell r="C1002" t="str">
            <v>إخراج</v>
          </cell>
          <cell r="G1002">
            <v>153</v>
          </cell>
        </row>
        <row r="1003">
          <cell r="B1003" t="str">
            <v>مارشميلو كيالي - نسائي</v>
          </cell>
          <cell r="C1003" t="str">
            <v>إخراج</v>
          </cell>
          <cell r="G1003">
            <v>202</v>
          </cell>
        </row>
        <row r="1004">
          <cell r="B1004" t="str">
            <v>جادور كريستيان ديور - نسائي</v>
          </cell>
          <cell r="C1004" t="str">
            <v>إخراج</v>
          </cell>
          <cell r="G1004">
            <v>500</v>
          </cell>
        </row>
        <row r="1005">
          <cell r="B1005" t="str">
            <v>شانص شانيل - نسائي</v>
          </cell>
          <cell r="C1005" t="str">
            <v>إخراج</v>
          </cell>
          <cell r="G1005">
            <v>282</v>
          </cell>
        </row>
        <row r="1006">
          <cell r="B1006" t="str">
            <v>كيالي فانيل  28 - نسائي</v>
          </cell>
          <cell r="C1006" t="str">
            <v>إخراج</v>
          </cell>
          <cell r="G1006">
            <v>334</v>
          </cell>
        </row>
        <row r="1007">
          <cell r="B1007" t="str">
            <v>ديزاير دينهيل - رجالي</v>
          </cell>
          <cell r="C1007" t="str">
            <v>إخراج</v>
          </cell>
          <cell r="G1007">
            <v>352</v>
          </cell>
        </row>
        <row r="1008">
          <cell r="B1008" t="str">
            <v>هامول - للجنسين</v>
          </cell>
          <cell r="C1008" t="str">
            <v>إخراج</v>
          </cell>
          <cell r="G1008">
            <v>453</v>
          </cell>
        </row>
        <row r="1009">
          <cell r="B1009" t="str">
            <v>ماجيك الجزيرة -  للجنسين</v>
          </cell>
          <cell r="C1009" t="str">
            <v>إخراج</v>
          </cell>
          <cell r="G1009">
            <v>215</v>
          </cell>
        </row>
        <row r="1010">
          <cell r="B1010" t="str">
            <v>بي جيفينشي - رجالي</v>
          </cell>
          <cell r="C1010" t="str">
            <v>إخراج</v>
          </cell>
          <cell r="G1010">
            <v>500</v>
          </cell>
        </row>
        <row r="1011">
          <cell r="B1011" t="str">
            <v>مونت بلانك ليجينت - رجاليي</v>
          </cell>
          <cell r="C1011" t="str">
            <v>إخراج</v>
          </cell>
          <cell r="G1011">
            <v>587</v>
          </cell>
        </row>
        <row r="1012">
          <cell r="B1012" t="str">
            <v>كلمات العربية للعود - للجنسين</v>
          </cell>
          <cell r="C1012" t="str">
            <v>إخراج</v>
          </cell>
          <cell r="G1012">
            <v>280</v>
          </cell>
        </row>
        <row r="1013">
          <cell r="B1013" t="str">
            <v>سنشوال جوهان بي - نسائي</v>
          </cell>
          <cell r="C1013" t="str">
            <v>إخراج</v>
          </cell>
          <cell r="G1013">
            <v>196</v>
          </cell>
        </row>
        <row r="1014">
          <cell r="B1014" t="str">
            <v>انفكتوس باكورابان - رجالي</v>
          </cell>
          <cell r="C1014" t="str">
            <v>إخراج</v>
          </cell>
          <cell r="G1014">
            <v>296</v>
          </cell>
        </row>
        <row r="1015">
          <cell r="B1015" t="str">
            <v>عود مضاوي العربية للعود - للجنسين</v>
          </cell>
          <cell r="C1015" t="str">
            <v>إخراج</v>
          </cell>
          <cell r="G1015">
            <v>147</v>
          </cell>
        </row>
        <row r="1016">
          <cell r="B1016" t="str">
            <v>في أي بي بلاك 212كارولينا هيريرا - رجالي</v>
          </cell>
          <cell r="C1016" t="str">
            <v>إخراج</v>
          </cell>
          <cell r="G1016">
            <v>305</v>
          </cell>
        </row>
        <row r="1017">
          <cell r="B1017" t="str">
            <v>المنت هوغو بوس - رجالي</v>
          </cell>
          <cell r="C1017" t="str">
            <v>إخراج</v>
          </cell>
          <cell r="G1017">
            <v>295</v>
          </cell>
        </row>
        <row r="1018">
          <cell r="B1018" t="str">
            <v>سيلفر سينت بوجارد - رجالي</v>
          </cell>
          <cell r="C1018" t="str">
            <v>إخراج</v>
          </cell>
          <cell r="G1018">
            <v>409</v>
          </cell>
        </row>
        <row r="1019">
          <cell r="B1019" t="str">
            <v xml:space="preserve">مسك ابيض إبراهيم القرشي - للجنسين </v>
          </cell>
          <cell r="C1019" t="str">
            <v>إخراج</v>
          </cell>
          <cell r="G1019">
            <v>300</v>
          </cell>
        </row>
        <row r="1020">
          <cell r="B1020" t="str">
            <v>لالونا - عود ماركوجا - للجنسين</v>
          </cell>
          <cell r="C1020" t="str">
            <v>إخراج</v>
          </cell>
          <cell r="G1020">
            <v>82</v>
          </cell>
        </row>
        <row r="1021">
          <cell r="B1021" t="str">
            <v>عود الابياد - إبراهيم القرشيي - للجنسين</v>
          </cell>
          <cell r="C1021" t="str">
            <v>إخراج</v>
          </cell>
          <cell r="G1021">
            <v>116</v>
          </cell>
        </row>
        <row r="1022">
          <cell r="B1022" t="str">
            <v>هاشيفات نيشاني - رجالي</v>
          </cell>
          <cell r="C1022" t="str">
            <v>إخراج</v>
          </cell>
          <cell r="G1022">
            <v>195</v>
          </cell>
        </row>
        <row r="1023">
          <cell r="B1023" t="str">
            <v>راش غوتشي - نسائي</v>
          </cell>
          <cell r="C1023" t="str">
            <v>إخراج</v>
          </cell>
          <cell r="G1023">
            <v>300</v>
          </cell>
        </row>
        <row r="1024">
          <cell r="B1024" t="str">
            <v>زهرة الزنبق - للجنسين</v>
          </cell>
          <cell r="C1024" t="str">
            <v>إخراج</v>
          </cell>
          <cell r="G1024">
            <v>170</v>
          </cell>
        </row>
        <row r="1025">
          <cell r="B1025" t="str">
            <v>بتلد بوس - رجالي</v>
          </cell>
          <cell r="C1025" t="str">
            <v>إخراج</v>
          </cell>
          <cell r="G1025">
            <v>300</v>
          </cell>
        </row>
        <row r="1026">
          <cell r="B1026" t="str">
            <v>ماي واي جورجيو ارماني - نسائي</v>
          </cell>
          <cell r="C1026" t="str">
            <v>إخراج</v>
          </cell>
          <cell r="G1026">
            <v>195</v>
          </cell>
        </row>
        <row r="1027">
          <cell r="B1027" t="str">
            <v>لافيبل لانكوم - نسائي</v>
          </cell>
          <cell r="C1027" t="str">
            <v>إخراج</v>
          </cell>
          <cell r="G1027">
            <v>300</v>
          </cell>
        </row>
        <row r="1028">
          <cell r="B1028" t="str">
            <v>بي ديليشيز ديكني - نسائي</v>
          </cell>
          <cell r="C1028" t="str">
            <v>إخراج</v>
          </cell>
          <cell r="G1028">
            <v>255</v>
          </cell>
        </row>
        <row r="1029">
          <cell r="B1029" t="str">
            <v>فهرنهايت كريستيان ديور - رجالي</v>
          </cell>
          <cell r="C1029" t="str">
            <v>إخراج</v>
          </cell>
          <cell r="G1029">
            <v>322</v>
          </cell>
        </row>
        <row r="1030">
          <cell r="B1030" t="str">
            <v>بليجرز  استي لودر - نسائي</v>
          </cell>
          <cell r="C1030" t="str">
            <v>إخراج</v>
          </cell>
          <cell r="G1030">
            <v>376</v>
          </cell>
        </row>
        <row r="1031">
          <cell r="B1031" t="str">
            <v>اولومبيا - باكورابان - نسائي</v>
          </cell>
          <cell r="C1031" t="str">
            <v>إخراج</v>
          </cell>
          <cell r="G1031">
            <v>280</v>
          </cell>
        </row>
        <row r="1032">
          <cell r="B1032" t="str">
            <v>الور هوم سبورت شانيل - رجالي</v>
          </cell>
          <cell r="C1032" t="str">
            <v>إخراج</v>
          </cell>
          <cell r="G1032">
            <v>280</v>
          </cell>
        </row>
        <row r="1033">
          <cell r="B1033" t="str">
            <v>سبيشلي سكادة - نسائي</v>
          </cell>
          <cell r="C1033" t="str">
            <v>إخراج</v>
          </cell>
          <cell r="G1033">
            <v>357</v>
          </cell>
        </row>
        <row r="1034">
          <cell r="B1034" t="str">
            <v>لكي مان - رجالي</v>
          </cell>
          <cell r="C1034" t="str">
            <v>إخراج</v>
          </cell>
          <cell r="G1034">
            <v>137</v>
          </cell>
        </row>
        <row r="1035">
          <cell r="B1035" t="str">
            <v>كوكو شانيل - مادموزيل - نسائي</v>
          </cell>
          <cell r="C1035" t="str">
            <v>إخراج</v>
          </cell>
          <cell r="G1035">
            <v>430</v>
          </cell>
        </row>
        <row r="1036">
          <cell r="B1036" t="str">
            <v>ايلي صعب - نسائي</v>
          </cell>
          <cell r="C1036" t="str">
            <v>إخراج</v>
          </cell>
          <cell r="G1036">
            <v>249</v>
          </cell>
        </row>
        <row r="1037">
          <cell r="B1037" t="str">
            <v>افينتوس كريد - رجالي</v>
          </cell>
          <cell r="C1037" t="str">
            <v>إدخال</v>
          </cell>
          <cell r="G1037">
            <v>1000</v>
          </cell>
        </row>
        <row r="1038">
          <cell r="B1038" t="str">
            <v>سوفاج كريستيان ديور - رجالي</v>
          </cell>
          <cell r="C1038" t="str">
            <v>إدخال</v>
          </cell>
          <cell r="G1038">
            <v>1000</v>
          </cell>
        </row>
        <row r="1039">
          <cell r="B1039" t="str">
            <v>أمباسادور من جيسادا - رجالي</v>
          </cell>
          <cell r="C1039" t="str">
            <v>إدخال</v>
          </cell>
          <cell r="G1039">
            <v>3000</v>
          </cell>
        </row>
        <row r="1040">
          <cell r="B1040" t="str">
            <v>ايروس فرزاتشي - رجالي</v>
          </cell>
          <cell r="C1040" t="str">
            <v>إدخال</v>
          </cell>
          <cell r="G1040">
            <v>1000</v>
          </cell>
        </row>
        <row r="1041">
          <cell r="B1041" t="str">
            <v>رالف رولين - روج - نسائي</v>
          </cell>
          <cell r="C1041" t="str">
            <v>إدخال</v>
          </cell>
          <cell r="G1041">
            <v>1000</v>
          </cell>
        </row>
        <row r="1042">
          <cell r="B1042" t="str">
            <v>فلانتينو في - دارج رصاصي - رجالي</v>
          </cell>
          <cell r="C1042" t="str">
            <v>إدخال</v>
          </cell>
          <cell r="G1042">
            <v>500</v>
          </cell>
        </row>
        <row r="1043">
          <cell r="B1043" t="str">
            <v>سوفاج كريستيان ديور - رجالي</v>
          </cell>
          <cell r="C1043" t="str">
            <v>إخراج</v>
          </cell>
          <cell r="G1043">
            <v>500</v>
          </cell>
        </row>
        <row r="1044">
          <cell r="B1044" t="str">
            <v>افينتوس كريد - رجالي</v>
          </cell>
          <cell r="C1044" t="str">
            <v>إخراج</v>
          </cell>
          <cell r="G1044">
            <v>500</v>
          </cell>
        </row>
        <row r="1045">
          <cell r="B1045" t="str">
            <v>أمباسادور من جيسادا - رجالي</v>
          </cell>
          <cell r="C1045" t="str">
            <v>إخراج</v>
          </cell>
          <cell r="G1045">
            <v>1000</v>
          </cell>
        </row>
        <row r="1046">
          <cell r="B1046" t="str">
            <v>سوفاج كريستيان ديور - رجالي</v>
          </cell>
          <cell r="C1046" t="str">
            <v>إخراج</v>
          </cell>
          <cell r="G1046">
            <v>300</v>
          </cell>
        </row>
        <row r="1047">
          <cell r="B1047" t="str">
            <v>فلانتينو في - دارج رصاصي - رجالي</v>
          </cell>
          <cell r="C1047" t="str">
            <v>إخراج</v>
          </cell>
          <cell r="G1047">
            <v>300</v>
          </cell>
        </row>
        <row r="1048">
          <cell r="B1048" t="str">
            <v>بلو دي شانيل -رجالي</v>
          </cell>
          <cell r="C1048" t="str">
            <v>إخراج</v>
          </cell>
          <cell r="G1048">
            <v>0</v>
          </cell>
        </row>
        <row r="1049">
          <cell r="B1049" t="str">
            <v>افينتوس كريد - رجالي</v>
          </cell>
          <cell r="C1049" t="str">
            <v>إخراج</v>
          </cell>
          <cell r="G1049">
            <v>300</v>
          </cell>
        </row>
        <row r="1050">
          <cell r="B1050" t="str">
            <v>ايروس فرزاتشي - رجالي</v>
          </cell>
          <cell r="C1050" t="str">
            <v>إخراج</v>
          </cell>
          <cell r="G1050">
            <v>300</v>
          </cell>
        </row>
        <row r="1051">
          <cell r="B1051" t="str">
            <v>شانص شانيل - نسائي</v>
          </cell>
          <cell r="C1051" t="str">
            <v>إخراج</v>
          </cell>
          <cell r="G1051">
            <v>230</v>
          </cell>
        </row>
        <row r="1052">
          <cell r="B1052" t="str">
            <v>سي باشن جورجيو ارماني - نسائي</v>
          </cell>
          <cell r="C1052" t="str">
            <v>إخراج</v>
          </cell>
          <cell r="G1052">
            <v>236</v>
          </cell>
        </row>
        <row r="1053">
          <cell r="B1053" t="str">
            <v>ليدي روز لافيرن -  نسائي</v>
          </cell>
          <cell r="C1053" t="str">
            <v>إخراج</v>
          </cell>
          <cell r="G1053">
            <v>158</v>
          </cell>
        </row>
        <row r="1054">
          <cell r="B1054" t="str">
            <v>كوكو شانيل - مادموزيل - نسائي</v>
          </cell>
          <cell r="C1054" t="str">
            <v>إخراج</v>
          </cell>
          <cell r="G1054">
            <v>73</v>
          </cell>
        </row>
        <row r="1055">
          <cell r="B1055" t="str">
            <v>بودي بربري -نسائي</v>
          </cell>
          <cell r="C1055" t="str">
            <v>إخراج</v>
          </cell>
          <cell r="G1055">
            <v>285</v>
          </cell>
        </row>
        <row r="1056">
          <cell r="B1056" t="str">
            <v>بي جيفينشي - رجالي</v>
          </cell>
          <cell r="C1056" t="str">
            <v>إخراج</v>
          </cell>
          <cell r="G1056">
            <v>163</v>
          </cell>
        </row>
        <row r="1057">
          <cell r="B1057" t="str">
            <v>يس أيام كشريل - نسائي</v>
          </cell>
          <cell r="C1057" t="str">
            <v>إخراج</v>
          </cell>
          <cell r="G1057">
            <v>188</v>
          </cell>
        </row>
        <row r="1058">
          <cell r="B1058" t="str">
            <v>ذا سينت هوغو بوس - رجالي</v>
          </cell>
          <cell r="C1058" t="str">
            <v>إخراج</v>
          </cell>
          <cell r="G1058">
            <v>229</v>
          </cell>
        </row>
        <row r="1059">
          <cell r="B1059" t="str">
            <v>فهرنهايت كريستيان ديور - رجالي</v>
          </cell>
          <cell r="C1059" t="str">
            <v>إخراج</v>
          </cell>
          <cell r="G1059">
            <v>178</v>
          </cell>
        </row>
        <row r="1060">
          <cell r="B1060" t="str">
            <v>سوفاج كريستيان ديور - رجالي</v>
          </cell>
          <cell r="C1060" t="str">
            <v>إخراج</v>
          </cell>
          <cell r="G1060">
            <v>206</v>
          </cell>
        </row>
        <row r="1061">
          <cell r="B1061" t="str">
            <v>لافيبل لانكوم - نسائي</v>
          </cell>
          <cell r="C1061" t="str">
            <v>إخراج</v>
          </cell>
          <cell r="G1061">
            <v>56</v>
          </cell>
        </row>
        <row r="1062">
          <cell r="B1062" t="str">
            <v>رالف رولين - روج - نسائي</v>
          </cell>
          <cell r="C1062" t="str">
            <v>إخراج</v>
          </cell>
          <cell r="G1062">
            <v>200</v>
          </cell>
        </row>
        <row r="1063">
          <cell r="B1063" t="str">
            <v>بلوم غوتشي - نسائي</v>
          </cell>
          <cell r="C1063" t="str">
            <v>إخراج</v>
          </cell>
          <cell r="G1063">
            <v>200</v>
          </cell>
        </row>
        <row r="1064">
          <cell r="B1064" t="str">
            <v>مونت بلانك ليجينت - رجاليي</v>
          </cell>
          <cell r="C1064" t="str">
            <v>إخراج</v>
          </cell>
          <cell r="G1064">
            <v>160</v>
          </cell>
        </row>
        <row r="1065">
          <cell r="B1065" t="str">
            <v>بكرات روج mfk -للجنسين</v>
          </cell>
          <cell r="C1065" t="str">
            <v>إخراج</v>
          </cell>
          <cell r="G1065">
            <v>300</v>
          </cell>
        </row>
        <row r="1066">
          <cell r="B1066" t="str">
            <v>سترونغر وذ يو امبريو ارماني - رجالي</v>
          </cell>
          <cell r="C1066" t="str">
            <v>إخراج</v>
          </cell>
          <cell r="G1066">
            <v>605</v>
          </cell>
        </row>
        <row r="1067">
          <cell r="B1067" t="str">
            <v>سيلفر مونتن - كريد ابيض - الوسام - رجالي</v>
          </cell>
          <cell r="C1067" t="str">
            <v>إخراج</v>
          </cell>
          <cell r="G1067">
            <v>200</v>
          </cell>
        </row>
        <row r="1068">
          <cell r="B1068" t="str">
            <v>روز فانيل مانسيرا - للجنسين</v>
          </cell>
          <cell r="C1068" t="str">
            <v>إخراج</v>
          </cell>
          <cell r="G1068">
            <v>200</v>
          </cell>
        </row>
        <row r="1069">
          <cell r="B1069" t="str">
            <v>كيالي فانيل  28 - نسائي</v>
          </cell>
          <cell r="C1069" t="str">
            <v>إخراج</v>
          </cell>
          <cell r="G1069">
            <v>100</v>
          </cell>
        </row>
        <row r="1070">
          <cell r="B1070" t="str">
            <v>سكاندل بايي نايت جامبول غوتيه -نسائي</v>
          </cell>
          <cell r="C1070" t="str">
            <v>إخراج</v>
          </cell>
          <cell r="G1070">
            <v>200</v>
          </cell>
        </row>
        <row r="1071">
          <cell r="B1071" t="str">
            <v>انفكتوس باكورابان - رجالي</v>
          </cell>
          <cell r="C1071" t="str">
            <v>إخراج</v>
          </cell>
          <cell r="G1071">
            <v>200</v>
          </cell>
        </row>
        <row r="1072">
          <cell r="B1072" t="str">
            <v>لاكوست وايت - رجالي</v>
          </cell>
          <cell r="C1072" t="str">
            <v>إخراج</v>
          </cell>
          <cell r="G1072">
            <v>300</v>
          </cell>
        </row>
        <row r="1073">
          <cell r="B1073" t="str">
            <v>ماجيك الجزيرة -  للجنسين</v>
          </cell>
          <cell r="C1073" t="str">
            <v>إخراج</v>
          </cell>
          <cell r="G1073">
            <v>150</v>
          </cell>
        </row>
        <row r="1074">
          <cell r="B1074" t="str">
            <v xml:space="preserve">مسك باودر إبراهيم القرشي - للجنسين </v>
          </cell>
          <cell r="C1074" t="str">
            <v>إخراج</v>
          </cell>
          <cell r="G1074">
            <v>200</v>
          </cell>
        </row>
        <row r="1075">
          <cell r="B1075" t="str">
            <v>سنشوال جوهان بي - نسائي</v>
          </cell>
          <cell r="C1075" t="str">
            <v>إخراج</v>
          </cell>
          <cell r="G1075">
            <v>200</v>
          </cell>
        </row>
        <row r="1076">
          <cell r="B1076" t="str">
            <v>اسينشال لاكوست - رجالي</v>
          </cell>
          <cell r="C1076" t="str">
            <v>إخراج</v>
          </cell>
          <cell r="G1076">
            <v>100</v>
          </cell>
        </row>
        <row r="1077">
          <cell r="B1077" t="str">
            <v>ليبر Y.S.L-نسائي</v>
          </cell>
          <cell r="C1077" t="str">
            <v>إخراج</v>
          </cell>
          <cell r="G1077">
            <v>250</v>
          </cell>
        </row>
        <row r="1078">
          <cell r="B1078" t="str">
            <v>بومب شيل فيكتوريا سيكرت - نسائي</v>
          </cell>
          <cell r="C1078" t="str">
            <v>إخراج</v>
          </cell>
          <cell r="G1078">
            <v>200</v>
          </cell>
        </row>
        <row r="1079">
          <cell r="B1079" t="str">
            <v>ايدول لانكوم - نسائي</v>
          </cell>
          <cell r="C1079" t="str">
            <v>إخراج</v>
          </cell>
          <cell r="G1079">
            <v>200</v>
          </cell>
        </row>
        <row r="1080">
          <cell r="B1080" t="str">
            <v>لابومبا كارولينا هيريرا -  نسائي</v>
          </cell>
          <cell r="C1080" t="str">
            <v>إخراج</v>
          </cell>
          <cell r="G1080">
            <v>200</v>
          </cell>
        </row>
        <row r="1081">
          <cell r="B1081" t="str">
            <v>هامول - للجنسين</v>
          </cell>
          <cell r="C1081" t="str">
            <v>إخراج</v>
          </cell>
          <cell r="G1081">
            <v>236</v>
          </cell>
        </row>
        <row r="1082">
          <cell r="B1082" t="str">
            <v>لكي مان - رجالي</v>
          </cell>
          <cell r="C1082" t="str">
            <v>إخراج</v>
          </cell>
          <cell r="G1082">
            <v>180</v>
          </cell>
        </row>
        <row r="1083">
          <cell r="B1083" t="str">
            <v>لالونا - عود ماركوجا - للجنسين</v>
          </cell>
          <cell r="C1083" t="str">
            <v>إخراج</v>
          </cell>
          <cell r="G1083">
            <v>250</v>
          </cell>
        </row>
        <row r="1084">
          <cell r="B1084" t="str">
            <v>موست وانتد ازارو - رجالي</v>
          </cell>
          <cell r="C1084" t="str">
            <v>إخراج</v>
          </cell>
          <cell r="G1084">
            <v>200</v>
          </cell>
        </row>
        <row r="1085">
          <cell r="B1085" t="str">
            <v>بتلد بوس - رجالي</v>
          </cell>
          <cell r="C1085" t="str">
            <v>إخراج</v>
          </cell>
          <cell r="G1085">
            <v>210</v>
          </cell>
        </row>
        <row r="1086">
          <cell r="B1086" t="str">
            <v>ماي واي جورجيو ارماني - نسائي</v>
          </cell>
          <cell r="C1086" t="str">
            <v>إخراج</v>
          </cell>
          <cell r="G1086">
            <v>200</v>
          </cell>
        </row>
        <row r="1087">
          <cell r="B1087" t="str">
            <v>عود مضاوي العربية للعود - للجنسين</v>
          </cell>
          <cell r="C1087" t="str">
            <v>إخراج</v>
          </cell>
          <cell r="G1087">
            <v>200</v>
          </cell>
        </row>
        <row r="1088">
          <cell r="B1088" t="str">
            <v>غوتشي غيلتي الكسير - رجالي</v>
          </cell>
          <cell r="C1088" t="str">
            <v>إدخال</v>
          </cell>
          <cell r="G1088">
            <v>1500</v>
          </cell>
        </row>
        <row r="1089">
          <cell r="B1089" t="str">
            <v>غوتشي غيلتي الكسير - رجالي</v>
          </cell>
          <cell r="C1089" t="str">
            <v>إخراج</v>
          </cell>
          <cell r="G1089">
            <v>500</v>
          </cell>
        </row>
        <row r="1090">
          <cell r="B1090" t="str">
            <v>غوتشي غيلتي الكسير - رجالي</v>
          </cell>
          <cell r="C1090" t="str">
            <v>إخراج</v>
          </cell>
          <cell r="G1090">
            <v>500</v>
          </cell>
        </row>
        <row r="1091">
          <cell r="B1091" t="str">
            <v>عنبر عود اجمل - للجنسين</v>
          </cell>
          <cell r="C1091" t="str">
            <v>إخراج</v>
          </cell>
          <cell r="G1091">
            <v>288</v>
          </cell>
        </row>
        <row r="1092">
          <cell r="B1092" t="str">
            <v>كابوتين - ماغانوليا - نسائي</v>
          </cell>
          <cell r="C1092" t="str">
            <v>إخراج</v>
          </cell>
          <cell r="G1092">
            <v>413</v>
          </cell>
        </row>
        <row r="1093">
          <cell r="B1093" t="str">
            <v>سيكسي كرافيتي سكادة - نسائي</v>
          </cell>
          <cell r="C1093" t="str">
            <v>إخراج</v>
          </cell>
          <cell r="G1093">
            <v>398</v>
          </cell>
        </row>
        <row r="1094">
          <cell r="B1094" t="str">
            <v>فريز - للجنسين</v>
          </cell>
          <cell r="C1094" t="str">
            <v>إخراج</v>
          </cell>
          <cell r="G1094">
            <v>251</v>
          </cell>
        </row>
        <row r="1095">
          <cell r="B1095" t="str">
            <v>نسيم البحر - للجنسين</v>
          </cell>
          <cell r="C1095" t="str">
            <v>إخراج</v>
          </cell>
          <cell r="G1095">
            <v>213</v>
          </cell>
        </row>
        <row r="1096">
          <cell r="B1096" t="str">
            <v>غوتشي غيلتي الكسير - رجالي</v>
          </cell>
          <cell r="C1096" t="str">
            <v>إخراج</v>
          </cell>
          <cell r="G1096">
            <v>500</v>
          </cell>
        </row>
        <row r="1097">
          <cell r="B1097" t="str">
            <v>سترونغر وذ يو امبريو ارماني - رجالي</v>
          </cell>
          <cell r="C1097" t="str">
            <v>إدخال</v>
          </cell>
          <cell r="G1097">
            <v>2000</v>
          </cell>
        </row>
        <row r="1098">
          <cell r="B1098" t="str">
            <v>عنبر عود اجمل - للجنسين</v>
          </cell>
          <cell r="C1098" t="str">
            <v>إدخال</v>
          </cell>
          <cell r="G1098">
            <v>1000</v>
          </cell>
        </row>
        <row r="1099">
          <cell r="B1099" t="str">
            <v>سترونغر وذ يو امبريو ارماني - رجالي</v>
          </cell>
          <cell r="C1099" t="str">
            <v>إخراج</v>
          </cell>
          <cell r="G1099">
            <v>500</v>
          </cell>
        </row>
        <row r="1100">
          <cell r="G1100" t="str">
            <v/>
          </cell>
        </row>
        <row r="1101">
          <cell r="G1101" t="str">
            <v/>
          </cell>
        </row>
        <row r="1102">
          <cell r="G1102" t="str">
            <v/>
          </cell>
        </row>
        <row r="1103">
          <cell r="G1103" t="str">
            <v/>
          </cell>
        </row>
        <row r="1104">
          <cell r="G1104" t="str">
            <v/>
          </cell>
        </row>
        <row r="1105">
          <cell r="G1105" t="str">
            <v/>
          </cell>
        </row>
        <row r="1106">
          <cell r="G1106" t="str">
            <v/>
          </cell>
        </row>
        <row r="1107">
          <cell r="G1107" t="str">
            <v/>
          </cell>
        </row>
        <row r="1108">
          <cell r="G1108" t="str">
            <v/>
          </cell>
        </row>
        <row r="1109">
          <cell r="G1109" t="str">
            <v/>
          </cell>
        </row>
        <row r="1110">
          <cell r="G1110" t="str">
            <v/>
          </cell>
        </row>
        <row r="1111">
          <cell r="G1111" t="str">
            <v/>
          </cell>
        </row>
        <row r="1112">
          <cell r="G1112" t="str">
            <v/>
          </cell>
        </row>
        <row r="1113">
          <cell r="G1113" t="str">
            <v/>
          </cell>
        </row>
        <row r="1114">
          <cell r="G1114" t="str">
            <v/>
          </cell>
        </row>
        <row r="1115">
          <cell r="G1115" t="str">
            <v/>
          </cell>
        </row>
        <row r="1116">
          <cell r="G1116" t="str">
            <v/>
          </cell>
        </row>
        <row r="1117">
          <cell r="G1117" t="str">
            <v/>
          </cell>
        </row>
        <row r="1118">
          <cell r="G1118" t="str">
            <v/>
          </cell>
        </row>
        <row r="1119">
          <cell r="G1119" t="str">
            <v/>
          </cell>
        </row>
        <row r="1120">
          <cell r="G1120" t="str">
            <v/>
          </cell>
        </row>
        <row r="1121">
          <cell r="G1121" t="str">
            <v/>
          </cell>
        </row>
        <row r="1122">
          <cell r="G1122" t="str">
            <v/>
          </cell>
        </row>
        <row r="1123">
          <cell r="G1123" t="str">
            <v/>
          </cell>
        </row>
        <row r="1124">
          <cell r="G1124" t="str">
            <v/>
          </cell>
        </row>
        <row r="1125">
          <cell r="G1125" t="str">
            <v/>
          </cell>
        </row>
        <row r="1126">
          <cell r="G1126" t="str">
            <v/>
          </cell>
        </row>
        <row r="1127">
          <cell r="G1127" t="str">
            <v/>
          </cell>
        </row>
        <row r="1128">
          <cell r="G1128" t="str">
            <v/>
          </cell>
        </row>
        <row r="1129">
          <cell r="G1129" t="str">
            <v/>
          </cell>
        </row>
        <row r="1130">
          <cell r="G1130" t="str">
            <v/>
          </cell>
        </row>
        <row r="1131">
          <cell r="G1131" t="str">
            <v/>
          </cell>
        </row>
        <row r="1132">
          <cell r="G1132" t="str">
            <v/>
          </cell>
        </row>
        <row r="1133">
          <cell r="G1133" t="str">
            <v/>
          </cell>
        </row>
        <row r="1134">
          <cell r="G1134" t="str">
            <v/>
          </cell>
        </row>
        <row r="1135">
          <cell r="G1135" t="str">
            <v/>
          </cell>
        </row>
        <row r="1136">
          <cell r="G1136" t="str">
            <v/>
          </cell>
        </row>
        <row r="1137">
          <cell r="G1137" t="str">
            <v/>
          </cell>
        </row>
        <row r="1138">
          <cell r="G1138" t="str">
            <v/>
          </cell>
        </row>
        <row r="1139">
          <cell r="G1139" t="str">
            <v/>
          </cell>
        </row>
        <row r="1140">
          <cell r="G1140" t="str">
            <v/>
          </cell>
        </row>
        <row r="1141">
          <cell r="G1141" t="str">
            <v/>
          </cell>
        </row>
        <row r="1142">
          <cell r="G1142" t="str">
            <v/>
          </cell>
        </row>
        <row r="1143">
          <cell r="G1143" t="str">
            <v/>
          </cell>
        </row>
        <row r="1144">
          <cell r="G1144" t="str">
            <v/>
          </cell>
        </row>
        <row r="1145">
          <cell r="G1145" t="str">
            <v/>
          </cell>
        </row>
        <row r="1146">
          <cell r="G1146" t="str">
            <v/>
          </cell>
        </row>
        <row r="1147">
          <cell r="G1147" t="str">
            <v/>
          </cell>
        </row>
        <row r="1148">
          <cell r="G1148" t="str">
            <v/>
          </cell>
        </row>
        <row r="1149">
          <cell r="G1149" t="str">
            <v/>
          </cell>
        </row>
        <row r="1150">
          <cell r="G1150" t="str">
            <v/>
          </cell>
        </row>
        <row r="1151">
          <cell r="G1151" t="str">
            <v/>
          </cell>
        </row>
        <row r="1152">
          <cell r="G1152" t="str">
            <v/>
          </cell>
        </row>
        <row r="1153">
          <cell r="G1153" t="str">
            <v/>
          </cell>
        </row>
        <row r="1154">
          <cell r="G1154" t="str">
            <v/>
          </cell>
        </row>
        <row r="1155">
          <cell r="G1155" t="str">
            <v/>
          </cell>
        </row>
        <row r="1156">
          <cell r="G1156" t="str">
            <v/>
          </cell>
        </row>
        <row r="1157">
          <cell r="G1157" t="str">
            <v/>
          </cell>
        </row>
        <row r="1158">
          <cell r="G1158" t="str">
            <v/>
          </cell>
        </row>
        <row r="1159">
          <cell r="G1159" t="str">
            <v/>
          </cell>
        </row>
        <row r="1160">
          <cell r="G1160" t="str">
            <v/>
          </cell>
        </row>
        <row r="1161">
          <cell r="G1161" t="str">
            <v/>
          </cell>
        </row>
        <row r="1162">
          <cell r="G1162" t="str">
            <v/>
          </cell>
        </row>
        <row r="1163">
          <cell r="G1163" t="str">
            <v/>
          </cell>
        </row>
        <row r="1164">
          <cell r="G1164" t="str">
            <v/>
          </cell>
        </row>
        <row r="1165">
          <cell r="G1165" t="str">
            <v/>
          </cell>
        </row>
        <row r="1166">
          <cell r="G1166" t="str">
            <v/>
          </cell>
        </row>
        <row r="1167">
          <cell r="G1167" t="str">
            <v/>
          </cell>
        </row>
        <row r="1168">
          <cell r="G1168" t="str">
            <v/>
          </cell>
        </row>
        <row r="1169">
          <cell r="G1169" t="str">
            <v/>
          </cell>
        </row>
        <row r="1170">
          <cell r="G1170" t="str">
            <v/>
          </cell>
        </row>
        <row r="1171">
          <cell r="G1171" t="str">
            <v/>
          </cell>
        </row>
        <row r="1172">
          <cell r="G1172" t="str">
            <v/>
          </cell>
        </row>
        <row r="1173">
          <cell r="G1173" t="str">
            <v/>
          </cell>
        </row>
        <row r="1174">
          <cell r="G1174" t="str">
            <v/>
          </cell>
        </row>
        <row r="1175">
          <cell r="G1175" t="str">
            <v/>
          </cell>
        </row>
        <row r="1176">
          <cell r="G1176" t="str">
            <v/>
          </cell>
        </row>
        <row r="1177">
          <cell r="G1177" t="str">
            <v/>
          </cell>
        </row>
        <row r="1178">
          <cell r="G1178" t="str">
            <v/>
          </cell>
        </row>
        <row r="1179">
          <cell r="G1179" t="str">
            <v/>
          </cell>
        </row>
        <row r="1180">
          <cell r="G1180" t="str">
            <v/>
          </cell>
        </row>
        <row r="1181">
          <cell r="G1181" t="str">
            <v/>
          </cell>
        </row>
        <row r="1182">
          <cell r="G1182" t="str">
            <v/>
          </cell>
        </row>
        <row r="1183">
          <cell r="G1183" t="str">
            <v/>
          </cell>
        </row>
        <row r="1184">
          <cell r="G1184" t="str">
            <v/>
          </cell>
        </row>
        <row r="1185">
          <cell r="G1185" t="str">
            <v/>
          </cell>
        </row>
        <row r="1186">
          <cell r="G1186" t="str">
            <v/>
          </cell>
        </row>
        <row r="1187">
          <cell r="G1187" t="str">
            <v/>
          </cell>
        </row>
        <row r="1188">
          <cell r="G1188" t="str">
            <v/>
          </cell>
        </row>
        <row r="1189">
          <cell r="G1189" t="str">
            <v/>
          </cell>
        </row>
        <row r="1190">
          <cell r="G1190" t="str">
            <v/>
          </cell>
        </row>
        <row r="1191">
          <cell r="G1191" t="str">
            <v/>
          </cell>
        </row>
        <row r="1192">
          <cell r="G1192" t="str">
            <v/>
          </cell>
        </row>
        <row r="1193">
          <cell r="G1193" t="str">
            <v/>
          </cell>
        </row>
        <row r="1194">
          <cell r="G1194" t="str">
            <v/>
          </cell>
        </row>
        <row r="1195">
          <cell r="G1195" t="str">
            <v/>
          </cell>
        </row>
        <row r="1196">
          <cell r="G1196" t="str">
            <v/>
          </cell>
        </row>
        <row r="1197">
          <cell r="G1197" t="str">
            <v/>
          </cell>
        </row>
        <row r="1198">
          <cell r="G1198" t="str">
            <v/>
          </cell>
        </row>
        <row r="1199">
          <cell r="G1199" t="str">
            <v/>
          </cell>
        </row>
        <row r="1200">
          <cell r="G1200" t="str">
            <v/>
          </cell>
        </row>
        <row r="1201">
          <cell r="G1201" t="str">
            <v/>
          </cell>
        </row>
        <row r="1202">
          <cell r="G1202" t="str">
            <v/>
          </cell>
        </row>
        <row r="1203">
          <cell r="G1203" t="str">
            <v/>
          </cell>
        </row>
        <row r="1204">
          <cell r="G1204" t="str">
            <v/>
          </cell>
        </row>
        <row r="1205">
          <cell r="G1205" t="str">
            <v/>
          </cell>
        </row>
        <row r="1206">
          <cell r="G1206" t="str">
            <v/>
          </cell>
        </row>
        <row r="1207">
          <cell r="G1207" t="str">
            <v/>
          </cell>
        </row>
        <row r="1208">
          <cell r="G1208" t="str">
            <v/>
          </cell>
        </row>
        <row r="1209">
          <cell r="G1209" t="str">
            <v/>
          </cell>
        </row>
        <row r="1210">
          <cell r="G1210" t="str">
            <v/>
          </cell>
        </row>
        <row r="1211">
          <cell r="G1211" t="str">
            <v/>
          </cell>
        </row>
        <row r="1212">
          <cell r="G1212" t="str">
            <v/>
          </cell>
        </row>
        <row r="1213">
          <cell r="G1213" t="str">
            <v/>
          </cell>
        </row>
        <row r="1214">
          <cell r="G1214" t="str">
            <v/>
          </cell>
        </row>
        <row r="1215">
          <cell r="G1215" t="str">
            <v/>
          </cell>
        </row>
        <row r="1216">
          <cell r="G1216" t="str">
            <v/>
          </cell>
        </row>
        <row r="1217">
          <cell r="G1217" t="str">
            <v/>
          </cell>
        </row>
        <row r="1218">
          <cell r="G1218" t="str">
            <v/>
          </cell>
        </row>
        <row r="1219">
          <cell r="G1219" t="str">
            <v/>
          </cell>
        </row>
        <row r="1220">
          <cell r="G1220" t="str">
            <v/>
          </cell>
        </row>
        <row r="1221">
          <cell r="G1221" t="str">
            <v/>
          </cell>
        </row>
        <row r="1222">
          <cell r="G1222" t="str">
            <v/>
          </cell>
        </row>
        <row r="1223">
          <cell r="G1223" t="str">
            <v/>
          </cell>
        </row>
        <row r="1224">
          <cell r="G1224" t="str">
            <v/>
          </cell>
        </row>
        <row r="1225">
          <cell r="G1225" t="str">
            <v/>
          </cell>
        </row>
        <row r="1226">
          <cell r="G1226" t="str">
            <v/>
          </cell>
        </row>
        <row r="1227">
          <cell r="G1227" t="str">
            <v/>
          </cell>
        </row>
        <row r="1228">
          <cell r="G1228" t="str">
            <v/>
          </cell>
        </row>
        <row r="1229">
          <cell r="G1229" t="str">
            <v/>
          </cell>
        </row>
        <row r="1230">
          <cell r="G1230" t="str">
            <v/>
          </cell>
        </row>
        <row r="1231">
          <cell r="G1231" t="str">
            <v/>
          </cell>
        </row>
        <row r="1232">
          <cell r="G1232" t="str">
            <v/>
          </cell>
        </row>
        <row r="1233">
          <cell r="G1233" t="str">
            <v/>
          </cell>
        </row>
        <row r="1234">
          <cell r="G1234" t="str">
            <v/>
          </cell>
        </row>
        <row r="1235">
          <cell r="G1235" t="str">
            <v/>
          </cell>
        </row>
        <row r="1236">
          <cell r="G1236" t="str">
            <v/>
          </cell>
        </row>
        <row r="1237">
          <cell r="G1237" t="str">
            <v/>
          </cell>
        </row>
        <row r="1238">
          <cell r="G1238" t="str">
            <v/>
          </cell>
        </row>
        <row r="1239">
          <cell r="G1239" t="str">
            <v/>
          </cell>
        </row>
        <row r="1240">
          <cell r="G1240" t="str">
            <v/>
          </cell>
        </row>
        <row r="1241">
          <cell r="G1241" t="str">
            <v/>
          </cell>
        </row>
        <row r="1242">
          <cell r="G1242" t="str">
            <v/>
          </cell>
        </row>
        <row r="1243">
          <cell r="G1243" t="str">
            <v/>
          </cell>
        </row>
        <row r="1244">
          <cell r="G1244" t="str">
            <v/>
          </cell>
        </row>
        <row r="1245">
          <cell r="G1245" t="str">
            <v/>
          </cell>
        </row>
        <row r="1246">
          <cell r="G1246" t="str">
            <v/>
          </cell>
        </row>
        <row r="1247">
          <cell r="G1247" t="str">
            <v/>
          </cell>
        </row>
        <row r="1248">
          <cell r="G1248" t="str">
            <v/>
          </cell>
        </row>
        <row r="1249">
          <cell r="G1249" t="str">
            <v/>
          </cell>
        </row>
        <row r="1250">
          <cell r="G1250" t="str">
            <v/>
          </cell>
        </row>
        <row r="1251">
          <cell r="G1251" t="str">
            <v/>
          </cell>
        </row>
        <row r="1252">
          <cell r="G1252" t="str">
            <v/>
          </cell>
        </row>
        <row r="1253">
          <cell r="G1253" t="str">
            <v/>
          </cell>
        </row>
        <row r="1254">
          <cell r="G1254" t="str">
            <v/>
          </cell>
        </row>
        <row r="1255">
          <cell r="G1255" t="str">
            <v/>
          </cell>
        </row>
        <row r="1256">
          <cell r="G1256" t="str">
            <v/>
          </cell>
        </row>
        <row r="1257">
          <cell r="G1257" t="str">
            <v/>
          </cell>
        </row>
        <row r="1258">
          <cell r="G1258" t="str">
            <v/>
          </cell>
        </row>
        <row r="1259">
          <cell r="G1259" t="str">
            <v/>
          </cell>
        </row>
        <row r="1260">
          <cell r="G1260" t="str">
            <v/>
          </cell>
        </row>
        <row r="1261">
          <cell r="G1261" t="str">
            <v/>
          </cell>
        </row>
        <row r="1262">
          <cell r="G1262" t="str">
            <v/>
          </cell>
        </row>
        <row r="1263">
          <cell r="G1263" t="str">
            <v/>
          </cell>
        </row>
        <row r="1264">
          <cell r="G1264" t="str">
            <v/>
          </cell>
        </row>
        <row r="1265">
          <cell r="G1265" t="str">
            <v/>
          </cell>
        </row>
        <row r="1266">
          <cell r="G1266" t="str">
            <v/>
          </cell>
        </row>
        <row r="1267">
          <cell r="G1267" t="str">
            <v/>
          </cell>
        </row>
        <row r="1268">
          <cell r="G1268" t="str">
            <v/>
          </cell>
        </row>
        <row r="1269">
          <cell r="G1269" t="str">
            <v/>
          </cell>
        </row>
        <row r="1270">
          <cell r="G1270" t="str">
            <v/>
          </cell>
        </row>
        <row r="1271">
          <cell r="G1271" t="str">
            <v/>
          </cell>
        </row>
        <row r="1272">
          <cell r="G1272" t="str">
            <v/>
          </cell>
        </row>
        <row r="1273">
          <cell r="G1273" t="str">
            <v/>
          </cell>
        </row>
        <row r="1274">
          <cell r="G1274" t="str">
            <v/>
          </cell>
        </row>
        <row r="1275">
          <cell r="G1275" t="str">
            <v/>
          </cell>
        </row>
        <row r="1276">
          <cell r="G1276" t="str">
            <v/>
          </cell>
        </row>
        <row r="1277">
          <cell r="G1277" t="str">
            <v/>
          </cell>
        </row>
        <row r="1278">
          <cell r="G1278" t="str">
            <v/>
          </cell>
        </row>
        <row r="1279">
          <cell r="G1279" t="str">
            <v/>
          </cell>
        </row>
        <row r="1280">
          <cell r="G1280" t="str">
            <v/>
          </cell>
        </row>
        <row r="1281">
          <cell r="G1281" t="str">
            <v/>
          </cell>
        </row>
        <row r="1282">
          <cell r="G1282" t="str">
            <v/>
          </cell>
        </row>
        <row r="1283">
          <cell r="G1283" t="str">
            <v/>
          </cell>
        </row>
        <row r="1284">
          <cell r="G1284" t="str">
            <v/>
          </cell>
        </row>
        <row r="1285">
          <cell r="G1285" t="str">
            <v/>
          </cell>
        </row>
        <row r="1286">
          <cell r="G1286" t="str">
            <v/>
          </cell>
        </row>
        <row r="1287">
          <cell r="G1287" t="str">
            <v/>
          </cell>
        </row>
        <row r="1288">
          <cell r="G1288" t="str">
            <v/>
          </cell>
        </row>
        <row r="1289">
          <cell r="G1289" t="str">
            <v/>
          </cell>
        </row>
        <row r="1290">
          <cell r="G1290" t="str">
            <v/>
          </cell>
        </row>
        <row r="1291">
          <cell r="G1291" t="str">
            <v/>
          </cell>
        </row>
        <row r="1292">
          <cell r="G1292" t="str">
            <v/>
          </cell>
        </row>
        <row r="1293">
          <cell r="G1293" t="str">
            <v/>
          </cell>
        </row>
        <row r="1294">
          <cell r="G1294" t="str">
            <v/>
          </cell>
        </row>
        <row r="1295">
          <cell r="G1295" t="str">
            <v/>
          </cell>
        </row>
        <row r="1296">
          <cell r="G1296" t="str">
            <v/>
          </cell>
        </row>
        <row r="1297">
          <cell r="G1297" t="str">
            <v/>
          </cell>
        </row>
        <row r="1298">
          <cell r="G1298" t="str">
            <v/>
          </cell>
        </row>
        <row r="1299">
          <cell r="G1299" t="str">
            <v/>
          </cell>
        </row>
        <row r="1300">
          <cell r="G1300" t="str">
            <v/>
          </cell>
        </row>
        <row r="1301">
          <cell r="G1301" t="str">
            <v/>
          </cell>
        </row>
        <row r="1302">
          <cell r="G1302" t="str">
            <v/>
          </cell>
        </row>
        <row r="1303">
          <cell r="G1303" t="str">
            <v/>
          </cell>
        </row>
        <row r="1304">
          <cell r="G1304" t="str">
            <v/>
          </cell>
        </row>
        <row r="1305">
          <cell r="G1305" t="str">
            <v/>
          </cell>
        </row>
        <row r="1306">
          <cell r="G1306" t="str">
            <v/>
          </cell>
        </row>
        <row r="1307">
          <cell r="G1307" t="str">
            <v/>
          </cell>
        </row>
        <row r="1308">
          <cell r="G1308" t="str">
            <v/>
          </cell>
        </row>
        <row r="1309">
          <cell r="G1309" t="str">
            <v/>
          </cell>
        </row>
        <row r="1310">
          <cell r="G1310" t="str">
            <v/>
          </cell>
        </row>
        <row r="1311">
          <cell r="G1311" t="str">
            <v/>
          </cell>
        </row>
        <row r="1312">
          <cell r="G1312" t="str">
            <v/>
          </cell>
        </row>
        <row r="1313">
          <cell r="G1313" t="str">
            <v/>
          </cell>
        </row>
        <row r="1314">
          <cell r="G1314" t="str">
            <v/>
          </cell>
        </row>
        <row r="1315">
          <cell r="G1315" t="str">
            <v/>
          </cell>
        </row>
        <row r="1316">
          <cell r="G1316" t="str">
            <v/>
          </cell>
        </row>
        <row r="1317">
          <cell r="G1317" t="str">
            <v/>
          </cell>
        </row>
        <row r="1318">
          <cell r="G1318" t="str">
            <v/>
          </cell>
        </row>
        <row r="1319">
          <cell r="G1319" t="str">
            <v/>
          </cell>
        </row>
        <row r="1320">
          <cell r="G1320" t="str">
            <v/>
          </cell>
        </row>
        <row r="1321">
          <cell r="G1321" t="str">
            <v/>
          </cell>
        </row>
        <row r="1322">
          <cell r="G1322" t="str">
            <v/>
          </cell>
        </row>
        <row r="1323">
          <cell r="G1323" t="str">
            <v/>
          </cell>
        </row>
        <row r="1324">
          <cell r="G1324" t="str">
            <v/>
          </cell>
        </row>
        <row r="1325">
          <cell r="G1325" t="str">
            <v/>
          </cell>
        </row>
        <row r="1326">
          <cell r="G1326" t="str">
            <v/>
          </cell>
        </row>
        <row r="1327">
          <cell r="G1327" t="str">
            <v/>
          </cell>
        </row>
        <row r="1328">
          <cell r="G1328" t="str">
            <v/>
          </cell>
        </row>
        <row r="1329">
          <cell r="G1329" t="str">
            <v/>
          </cell>
        </row>
        <row r="1330">
          <cell r="G1330" t="str">
            <v/>
          </cell>
        </row>
        <row r="1331">
          <cell r="G1331" t="str">
            <v/>
          </cell>
        </row>
        <row r="1332">
          <cell r="G1332" t="str">
            <v/>
          </cell>
        </row>
        <row r="1333">
          <cell r="G1333" t="str">
            <v/>
          </cell>
        </row>
        <row r="1334">
          <cell r="G1334" t="str">
            <v/>
          </cell>
        </row>
        <row r="1335">
          <cell r="G1335" t="str">
            <v/>
          </cell>
        </row>
        <row r="1336">
          <cell r="G1336" t="str">
            <v/>
          </cell>
        </row>
        <row r="1337">
          <cell r="G1337" t="str">
            <v/>
          </cell>
        </row>
        <row r="1338">
          <cell r="G1338" t="str">
            <v/>
          </cell>
        </row>
        <row r="1339">
          <cell r="G1339" t="str">
            <v/>
          </cell>
        </row>
        <row r="1340">
          <cell r="G1340" t="str">
            <v/>
          </cell>
        </row>
        <row r="1341">
          <cell r="G1341" t="str">
            <v/>
          </cell>
        </row>
        <row r="1342">
          <cell r="G1342" t="str">
            <v/>
          </cell>
        </row>
        <row r="1343">
          <cell r="G1343" t="str">
            <v/>
          </cell>
        </row>
        <row r="1344">
          <cell r="G1344" t="str">
            <v/>
          </cell>
        </row>
        <row r="1345">
          <cell r="G1345" t="str">
            <v/>
          </cell>
        </row>
        <row r="1346">
          <cell r="G1346" t="str">
            <v/>
          </cell>
        </row>
        <row r="1347">
          <cell r="G1347" t="str">
            <v/>
          </cell>
        </row>
        <row r="1348">
          <cell r="G1348" t="str">
            <v/>
          </cell>
        </row>
        <row r="1349">
          <cell r="G1349" t="str">
            <v/>
          </cell>
        </row>
        <row r="1350">
          <cell r="G1350" t="str">
            <v/>
          </cell>
        </row>
        <row r="1351">
          <cell r="G1351" t="str">
            <v/>
          </cell>
        </row>
        <row r="1352">
          <cell r="G1352" t="str">
            <v/>
          </cell>
        </row>
        <row r="1353">
          <cell r="G1353" t="str">
            <v/>
          </cell>
        </row>
        <row r="1354">
          <cell r="G1354" t="str">
            <v/>
          </cell>
        </row>
        <row r="1355">
          <cell r="G1355" t="str">
            <v/>
          </cell>
        </row>
        <row r="1356">
          <cell r="G1356" t="str">
            <v/>
          </cell>
        </row>
        <row r="1357">
          <cell r="G1357" t="str">
            <v/>
          </cell>
        </row>
        <row r="1358">
          <cell r="G1358" t="str">
            <v/>
          </cell>
        </row>
        <row r="1359">
          <cell r="G1359" t="str">
            <v/>
          </cell>
        </row>
        <row r="1360">
          <cell r="G1360" t="str">
            <v/>
          </cell>
        </row>
        <row r="1361">
          <cell r="G1361" t="str">
            <v/>
          </cell>
        </row>
        <row r="1362">
          <cell r="G1362" t="str">
            <v/>
          </cell>
        </row>
        <row r="1363">
          <cell r="G1363" t="str">
            <v/>
          </cell>
        </row>
        <row r="1364">
          <cell r="G1364" t="str">
            <v/>
          </cell>
        </row>
        <row r="1365">
          <cell r="G1365" t="str">
            <v/>
          </cell>
        </row>
        <row r="1366">
          <cell r="G1366" t="str">
            <v/>
          </cell>
        </row>
        <row r="1367">
          <cell r="G1367" t="str">
            <v/>
          </cell>
        </row>
        <row r="1368">
          <cell r="G1368" t="str">
            <v/>
          </cell>
        </row>
        <row r="1369">
          <cell r="G1369" t="str">
            <v/>
          </cell>
        </row>
        <row r="1370">
          <cell r="G1370" t="str">
            <v/>
          </cell>
        </row>
        <row r="1371">
          <cell r="G1371" t="str">
            <v/>
          </cell>
        </row>
        <row r="1372">
          <cell r="G1372" t="str">
            <v/>
          </cell>
        </row>
        <row r="1373">
          <cell r="G1373" t="str">
            <v/>
          </cell>
        </row>
        <row r="1374">
          <cell r="G1374" t="str">
            <v/>
          </cell>
        </row>
        <row r="1375">
          <cell r="G1375" t="str">
            <v/>
          </cell>
        </row>
        <row r="1376">
          <cell r="G1376" t="str">
            <v/>
          </cell>
        </row>
        <row r="1377">
          <cell r="G1377" t="str">
            <v/>
          </cell>
        </row>
        <row r="1378">
          <cell r="G1378" t="str">
            <v/>
          </cell>
        </row>
        <row r="1379">
          <cell r="G1379" t="str">
            <v/>
          </cell>
        </row>
        <row r="1380">
          <cell r="G1380" t="str">
            <v/>
          </cell>
        </row>
        <row r="1381">
          <cell r="G1381" t="str">
            <v/>
          </cell>
        </row>
        <row r="1382">
          <cell r="G1382" t="str">
            <v/>
          </cell>
        </row>
        <row r="1383">
          <cell r="G1383" t="str">
            <v/>
          </cell>
        </row>
        <row r="1384">
          <cell r="G1384" t="str">
            <v/>
          </cell>
        </row>
        <row r="1385">
          <cell r="G1385" t="str">
            <v/>
          </cell>
        </row>
        <row r="1386">
          <cell r="G1386" t="str">
            <v/>
          </cell>
        </row>
        <row r="1387">
          <cell r="G1387" t="str">
            <v/>
          </cell>
        </row>
        <row r="1388">
          <cell r="G1388" t="str">
            <v/>
          </cell>
        </row>
        <row r="1389">
          <cell r="G1389" t="str">
            <v/>
          </cell>
        </row>
        <row r="1390">
          <cell r="G1390" t="str">
            <v/>
          </cell>
        </row>
        <row r="1391">
          <cell r="G1391" t="str">
            <v/>
          </cell>
        </row>
        <row r="1392">
          <cell r="G1392" t="str">
            <v/>
          </cell>
        </row>
        <row r="1393">
          <cell r="G1393" t="str">
            <v/>
          </cell>
        </row>
        <row r="1394">
          <cell r="G1394" t="str">
            <v/>
          </cell>
        </row>
        <row r="1395">
          <cell r="G1395" t="str">
            <v/>
          </cell>
        </row>
        <row r="1396">
          <cell r="G1396" t="str">
            <v/>
          </cell>
        </row>
        <row r="1397">
          <cell r="G1397" t="str">
            <v/>
          </cell>
        </row>
        <row r="1398">
          <cell r="G1398" t="str">
            <v/>
          </cell>
        </row>
        <row r="1399">
          <cell r="G1399" t="str">
            <v/>
          </cell>
        </row>
        <row r="1400">
          <cell r="G1400" t="str">
            <v/>
          </cell>
        </row>
        <row r="1401">
          <cell r="G1401" t="str">
            <v/>
          </cell>
        </row>
        <row r="1402">
          <cell r="G1402" t="str">
            <v/>
          </cell>
        </row>
        <row r="1403">
          <cell r="G1403" t="str">
            <v/>
          </cell>
        </row>
        <row r="1404">
          <cell r="G1404" t="str">
            <v/>
          </cell>
        </row>
        <row r="1405">
          <cell r="G1405" t="str">
            <v/>
          </cell>
        </row>
        <row r="1406">
          <cell r="G1406" t="str">
            <v/>
          </cell>
        </row>
        <row r="1407">
          <cell r="G1407" t="str">
            <v/>
          </cell>
        </row>
        <row r="1408">
          <cell r="G1408" t="str">
            <v/>
          </cell>
        </row>
        <row r="1409">
          <cell r="G1409" t="str">
            <v/>
          </cell>
        </row>
        <row r="1410">
          <cell r="G1410" t="str">
            <v/>
          </cell>
        </row>
        <row r="1411">
          <cell r="G1411" t="str">
            <v/>
          </cell>
        </row>
        <row r="1412">
          <cell r="G1412" t="str">
            <v/>
          </cell>
        </row>
        <row r="1413">
          <cell r="G1413" t="str">
            <v/>
          </cell>
        </row>
        <row r="1414">
          <cell r="G1414" t="str">
            <v/>
          </cell>
        </row>
        <row r="1415">
          <cell r="G1415" t="str">
            <v/>
          </cell>
        </row>
        <row r="1416">
          <cell r="G1416" t="str">
            <v/>
          </cell>
        </row>
        <row r="1417">
          <cell r="G1417" t="str">
            <v/>
          </cell>
        </row>
        <row r="1418">
          <cell r="G1418" t="str">
            <v/>
          </cell>
        </row>
        <row r="1419">
          <cell r="G1419" t="str">
            <v/>
          </cell>
        </row>
        <row r="1420">
          <cell r="G1420" t="str">
            <v/>
          </cell>
        </row>
        <row r="1421">
          <cell r="G1421" t="str">
            <v/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DB80-1D2C-45C3-A7F3-426073D2B576}">
  <sheetPr>
    <pageSetUpPr fitToPage="1"/>
  </sheetPr>
  <dimension ref="A1:E394"/>
  <sheetViews>
    <sheetView rightToLeft="1" tabSelected="1" workbookViewId="0">
      <selection sqref="A1:E394"/>
    </sheetView>
  </sheetViews>
  <sheetFormatPr defaultRowHeight="14.5" x14ac:dyDescent="0.35"/>
  <cols>
    <col min="1" max="1" width="38.26953125" bestFit="1" customWidth="1"/>
    <col min="2" max="2" width="7.90625" bestFit="1" customWidth="1"/>
    <col min="3" max="3" width="13" bestFit="1" customWidth="1"/>
    <col min="4" max="4" width="10.08984375" bestFit="1" customWidth="1"/>
    <col min="5" max="5" width="6.81640625" bestFit="1" customWidth="1"/>
  </cols>
  <sheetData>
    <row r="1" spans="1:5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thickTop="1" x14ac:dyDescent="0.35">
      <c r="A2" s="3" t="s">
        <v>378</v>
      </c>
      <c r="B2" s="3" t="s">
        <v>379</v>
      </c>
      <c r="C2" s="4">
        <f>SUMIFS([1]العمليات!G:G, [1]العمليات!B:B, A2, [1]العمليات!C:C, "إدخال") - SUMIFS([1]العمليات!G:G, [1]العمليات!B:B, A2, [1]العمليات!C:C, "إخراج")</f>
        <v>291</v>
      </c>
      <c r="D2" s="3" t="str">
        <f>IF(A2="","",IFERROR(LOOKUP(2,1/(([1]العمليات!$B$2:$B$1000=A2)*([1]العمليات!$H$2:$H$1000&lt;&gt;"")),[1]العمليات!$H$2:$H$1000),""))</f>
        <v/>
      </c>
      <c r="E2" s="3" t="str">
        <f>IF(A2="","",IFERROR(LOOKUP(2,1/(([1]العمليات!$B$2:$B$1000=A2)*([1]العمليات!$I$2:$I$1000&lt;&gt;"")),[1]العمليات!$I$2:$I$1000),""))</f>
        <v/>
      </c>
    </row>
    <row r="3" spans="1:5" x14ac:dyDescent="0.35">
      <c r="A3" s="5" t="s">
        <v>380</v>
      </c>
      <c r="B3" s="5" t="s">
        <v>381</v>
      </c>
      <c r="C3" s="6">
        <f>SUMIFS([1]العمليات!G:G, [1]العمليات!B:B, A3, [1]العمليات!C:C, "إدخال") - SUMIFS([1]العمليات!G:G, [1]العمليات!B:B, A3, [1]العمليات!C:C, "إخراج")</f>
        <v>157</v>
      </c>
      <c r="D3" s="5" t="str">
        <f>IF(A3="","",IFERROR(LOOKUP(2,1/(([1]العمليات!$B$2:$B$1000=A3)*([1]العمليات!$H$2:$H$1000&lt;&gt;"")),[1]العمليات!$H$2:$H$1000),""))</f>
        <v/>
      </c>
      <c r="E3" s="5" t="str">
        <f>IF(A3="","",IFERROR(LOOKUP(2,1/(([1]العمليات!$B$2:$B$1000=A3)*([1]العمليات!$I$2:$I$1000&lt;&gt;"")),[1]العمليات!$I$2:$I$1000),""))</f>
        <v/>
      </c>
    </row>
    <row r="4" spans="1:5" x14ac:dyDescent="0.35">
      <c r="A4" s="3" t="s">
        <v>382</v>
      </c>
      <c r="B4" s="3" t="s">
        <v>383</v>
      </c>
      <c r="C4" s="4">
        <f>SUMIFS([1]العمليات!G:G, [1]العمليات!B:B, A4, [1]العمليات!C:C, "إدخال") - SUMIFS([1]العمليات!G:G, [1]العمليات!B:B, A4, [1]العمليات!C:C, "إخراج")</f>
        <v>326</v>
      </c>
      <c r="D4" s="3" t="str">
        <f>IF(A4="","",IFERROR(LOOKUP(2,1/(([1]العمليات!$B$2:$B$1000=A4)*([1]العمليات!$H$2:$H$1000&lt;&gt;"")),[1]العمليات!$H$2:$H$1000),""))</f>
        <v/>
      </c>
      <c r="E4" s="3" t="str">
        <f>IF(A4="","",IFERROR(LOOKUP(2,1/(([1]العمليات!$B$2:$B$1000=A4)*([1]العمليات!$I$2:$I$1000&lt;&gt;"")),[1]العمليات!$I$2:$I$1000),""))</f>
        <v/>
      </c>
    </row>
    <row r="5" spans="1:5" x14ac:dyDescent="0.35">
      <c r="A5" s="5" t="s">
        <v>5</v>
      </c>
      <c r="B5" s="5" t="s">
        <v>6</v>
      </c>
      <c r="C5" s="6">
        <f>SUMIFS([1]العمليات!G:G, [1]العمليات!B:B, A5, [1]العمليات!C:C, "إدخال") - SUMIFS([1]العمليات!G:G, [1]العمليات!B:B, A5, [1]العمليات!C:C, "إخراج")</f>
        <v>629</v>
      </c>
      <c r="D5" s="5">
        <f>IF(A5="","",IFERROR(LOOKUP(2,1/(([1]العمليات!$B$2:$B$1000=A5)*([1]العمليات!$H$2:$H$1000&lt;&gt;"")),[1]العمليات!$H$2:$H$1000),""))</f>
        <v>5</v>
      </c>
      <c r="E5" s="5">
        <f>IF(A5="","",IFERROR(LOOKUP(2,1/(([1]العمليات!$B$2:$B$1000=A5)*([1]العمليات!$I$2:$I$1000&lt;&gt;"")),[1]العمليات!$I$2:$I$1000),""))</f>
        <v>3</v>
      </c>
    </row>
    <row r="6" spans="1:5" x14ac:dyDescent="0.35">
      <c r="A6" s="3" t="s">
        <v>384</v>
      </c>
      <c r="B6" s="3" t="s">
        <v>385</v>
      </c>
      <c r="C6" s="4">
        <f>SUMIFS([1]العمليات!G:G, [1]العمليات!B:B, A6, [1]العمليات!C:C, "إدخال") - SUMIFS([1]العمليات!G:G, [1]العمليات!B:B, A6, [1]العمليات!C:C, "إخراج")</f>
        <v>260</v>
      </c>
      <c r="D6" s="3" t="str">
        <f>IF(A6="","",IFERROR(LOOKUP(2,1/(([1]العمليات!$B$2:$B$1000=A6)*([1]العمليات!$H$2:$H$1000&lt;&gt;"")),[1]العمليات!$H$2:$H$1000),""))</f>
        <v/>
      </c>
      <c r="E6" s="3" t="str">
        <f>IF(A6="","",IFERROR(LOOKUP(2,1/(([1]العمليات!$B$2:$B$1000=A6)*([1]العمليات!$I$2:$I$1000&lt;&gt;"")),[1]العمليات!$I$2:$I$1000),""))</f>
        <v/>
      </c>
    </row>
    <row r="7" spans="1:5" x14ac:dyDescent="0.35">
      <c r="A7" s="5" t="s">
        <v>386</v>
      </c>
      <c r="B7" s="5" t="s">
        <v>387</v>
      </c>
      <c r="C7" s="6">
        <f>SUMIFS([1]العمليات!G:G, [1]العمليات!B:B, A7, [1]العمليات!C:C, "إدخال") - SUMIFS([1]العمليات!G:G, [1]العمليات!B:B, A7, [1]العمليات!C:C, "إخراج")</f>
        <v>278</v>
      </c>
      <c r="D7" s="5" t="str">
        <f>IF(A7="","",IFERROR(LOOKUP(2,1/(([1]العمليات!$B$2:$B$1000=A7)*([1]العمليات!$H$2:$H$1000&lt;&gt;"")),[1]العمليات!$H$2:$H$1000),""))</f>
        <v/>
      </c>
      <c r="E7" s="5" t="str">
        <f>IF(A7="","",IFERROR(LOOKUP(2,1/(([1]العمليات!$B$2:$B$1000=A7)*([1]العمليات!$I$2:$I$1000&lt;&gt;"")),[1]العمليات!$I$2:$I$1000),""))</f>
        <v/>
      </c>
    </row>
    <row r="8" spans="1:5" x14ac:dyDescent="0.35">
      <c r="A8" s="3" t="s">
        <v>388</v>
      </c>
      <c r="B8" s="3" t="s">
        <v>389</v>
      </c>
      <c r="C8" s="4">
        <f>SUMIFS([1]العمليات!G:G, [1]العمليات!B:B, A8, [1]العمليات!C:C, "إدخال") - SUMIFS([1]العمليات!G:G, [1]العمليات!B:B, A8, [1]العمليات!C:C, "إخراج")</f>
        <v>191</v>
      </c>
      <c r="D8" s="3" t="str">
        <f>IF(A8="","",IFERROR(LOOKUP(2,1/(([1]العمليات!$B$2:$B$1000=A8)*([1]العمليات!$H$2:$H$1000&lt;&gt;"")),[1]العمليات!$H$2:$H$1000),""))</f>
        <v/>
      </c>
      <c r="E8" s="3" t="str">
        <f>IF(A8="","",IFERROR(LOOKUP(2,1/(([1]العمليات!$B$2:$B$1000=A8)*([1]العمليات!$I$2:$I$1000&lt;&gt;"")),[1]العمليات!$I$2:$I$1000),""))</f>
        <v/>
      </c>
    </row>
    <row r="9" spans="1:5" x14ac:dyDescent="0.35">
      <c r="A9" s="5" t="s">
        <v>7</v>
      </c>
      <c r="B9" s="5" t="s">
        <v>8</v>
      </c>
      <c r="C9" s="6">
        <f>SUMIFS([1]العمليات!G:G, [1]العمليات!B:B, A9, [1]العمليات!C:C, "إدخال") - SUMIFS([1]العمليات!G:G, [1]العمليات!B:B, A9, [1]العمليات!C:C, "إخراج")</f>
        <v>1918</v>
      </c>
      <c r="D9" s="5">
        <f>IF(A9="","",IFERROR(LOOKUP(2,1/(([1]العمليات!$B$2:$B$1000=A9)*([1]العمليات!$H$2:$H$1000&lt;&gt;"")),[1]العمليات!$H$2:$H$1000),""))</f>
        <v>3</v>
      </c>
      <c r="E9" s="5">
        <f>IF(A9="","",IFERROR(LOOKUP(2,1/(([1]العمليات!$B$2:$B$1000=A9)*([1]العمليات!$I$2:$I$1000&lt;&gt;"")),[1]العمليات!$I$2:$I$1000),""))</f>
        <v>2</v>
      </c>
    </row>
    <row r="10" spans="1:5" x14ac:dyDescent="0.35">
      <c r="A10" s="3" t="s">
        <v>9</v>
      </c>
      <c r="B10" s="3" t="s">
        <v>10</v>
      </c>
      <c r="C10" s="4">
        <f>SUMIFS([1]العمليات!G:G, [1]العمليات!B:B, A10, [1]العمليات!C:C, "إدخال") - SUMIFS([1]العمليات!G:G, [1]العمليات!B:B, A10, [1]العمليات!C:C, "إخراج")</f>
        <v>564</v>
      </c>
      <c r="D10" s="3">
        <f>IF(A10="","",IFERROR(LOOKUP(2,1/(([1]العمليات!$B$2:$B$1000=A10)*([1]العمليات!$H$2:$H$1000&lt;&gt;"")),[1]العمليات!$H$2:$H$1000),""))</f>
        <v>1</v>
      </c>
      <c r="E10" s="3">
        <f>IF(A10="","",IFERROR(LOOKUP(2,1/(([1]العمليات!$B$2:$B$1000=A10)*([1]العمليات!$I$2:$I$1000&lt;&gt;"")),[1]العمليات!$I$2:$I$1000),""))</f>
        <v>4</v>
      </c>
    </row>
    <row r="11" spans="1:5" x14ac:dyDescent="0.35">
      <c r="A11" s="5" t="s">
        <v>390</v>
      </c>
      <c r="B11" s="5" t="s">
        <v>391</v>
      </c>
      <c r="C11" s="6">
        <f>SUMIFS([1]العمليات!G:G, [1]العمليات!B:B, A11, [1]العمليات!C:C, "إدخال") - SUMIFS([1]العمليات!G:G, [1]العمليات!B:B, A11, [1]العمليات!C:C, "إخراج")</f>
        <v>2127</v>
      </c>
      <c r="D11" s="5" t="str">
        <f>IF(A11="","",IFERROR(LOOKUP(2,1/(([1]العمليات!$B$2:$B$1000=A11)*([1]العمليات!$H$2:$H$1000&lt;&gt;"")),[1]العمليات!$H$2:$H$1000),""))</f>
        <v/>
      </c>
      <c r="E11" s="5" t="str">
        <f>IF(A11="","",IFERROR(LOOKUP(2,1/(([1]العمليات!$B$2:$B$1000=A11)*([1]العمليات!$I$2:$I$1000&lt;&gt;"")),[1]العمليات!$I$2:$I$1000),""))</f>
        <v/>
      </c>
    </row>
    <row r="12" spans="1:5" x14ac:dyDescent="0.35">
      <c r="A12" s="3" t="s">
        <v>11</v>
      </c>
      <c r="B12" s="3" t="s">
        <v>12</v>
      </c>
      <c r="C12" s="4">
        <f>SUMIFS([1]العمليات!G:G, [1]العمليات!B:B, A12, [1]العمليات!C:C, "إدخال") - SUMIFS([1]العمليات!G:G, [1]العمليات!B:B, A12, [1]العمليات!C:C, "إخراج")</f>
        <v>1600</v>
      </c>
      <c r="D12" s="3">
        <f>IF(A12="","",IFERROR(LOOKUP(2,1/(([1]العمليات!$B$2:$B$1000=A12)*([1]العمليات!$H$2:$H$1000&lt;&gt;"")),[1]العمليات!$H$2:$H$1000),""))</f>
        <v>1</v>
      </c>
      <c r="E12" s="3">
        <f>IF(A12="","",IFERROR(LOOKUP(2,1/(([1]العمليات!$B$2:$B$1000=A12)*([1]العمليات!$I$2:$I$1000&lt;&gt;"")),[1]العمليات!$I$2:$I$1000),""))</f>
        <v>6</v>
      </c>
    </row>
    <row r="13" spans="1:5" x14ac:dyDescent="0.35">
      <c r="A13" s="5" t="s">
        <v>392</v>
      </c>
      <c r="B13" s="5" t="s">
        <v>393</v>
      </c>
      <c r="C13" s="6">
        <f>SUMIFS([1]العمليات!G:G, [1]العمليات!B:B, A13, [1]العمليات!C:C, "إدخال") - SUMIFS([1]العمليات!G:G, [1]العمليات!B:B, A13, [1]العمليات!C:C, "إخراج")</f>
        <v>0</v>
      </c>
      <c r="D13" s="5" t="str">
        <f>IF(A13="","",IFERROR(LOOKUP(2,1/(([1]العمليات!$B$2:$B$1000=A13)*([1]العمليات!$H$2:$H$1000&lt;&gt;"")),[1]العمليات!$H$2:$H$1000),""))</f>
        <v/>
      </c>
      <c r="E13" s="5" t="str">
        <f>IF(A13="","",IFERROR(LOOKUP(2,1/(([1]العمليات!$B$2:$B$1000=A13)*([1]العمليات!$I$2:$I$1000&lt;&gt;"")),[1]العمليات!$I$2:$I$1000),""))</f>
        <v/>
      </c>
    </row>
    <row r="14" spans="1:5" x14ac:dyDescent="0.35">
      <c r="A14" s="3" t="s">
        <v>13</v>
      </c>
      <c r="B14" s="3" t="s">
        <v>14</v>
      </c>
      <c r="C14" s="4">
        <f>SUMIFS([1]العمليات!G:G, [1]العمليات!B:B, A14, [1]العمليات!C:C, "إدخال") - SUMIFS([1]العمليات!G:G, [1]العمليات!B:B, A14, [1]العمليات!C:C, "إخراج")</f>
        <v>811</v>
      </c>
      <c r="D14" s="3">
        <f>IF(A14="","",IFERROR(LOOKUP(2,1/(([1]العمليات!$B$2:$B$1000=A14)*([1]العمليات!$H$2:$H$1000&lt;&gt;"")),[1]العمليات!$H$2:$H$1000),""))</f>
        <v>3</v>
      </c>
      <c r="E14" s="3">
        <f>IF(A14="","",IFERROR(LOOKUP(2,1/(([1]العمليات!$B$2:$B$1000=A14)*([1]العمليات!$I$2:$I$1000&lt;&gt;"")),[1]العمليات!$I$2:$I$1000),""))</f>
        <v>4</v>
      </c>
    </row>
    <row r="15" spans="1:5" x14ac:dyDescent="0.35">
      <c r="A15" s="5" t="s">
        <v>15</v>
      </c>
      <c r="B15" s="5" t="s">
        <v>16</v>
      </c>
      <c r="C15" s="6">
        <f>SUMIFS([1]العمليات!G:G, [1]العمليات!B:B, A15, [1]العمليات!C:C, "إدخال") - SUMIFS([1]العمليات!G:G, [1]العمليات!B:B, A15, [1]العمليات!C:C, "إخراج")</f>
        <v>1216</v>
      </c>
      <c r="D15" s="5">
        <f>IF(A15="","",IFERROR(LOOKUP(2,1/(([1]العمليات!$B$2:$B$1000=A15)*([1]العمليات!$H$2:$H$1000&lt;&gt;"")),[1]العمليات!$H$2:$H$1000),""))</f>
        <v>5</v>
      </c>
      <c r="E15" s="5">
        <f>IF(A15="","",IFERROR(LOOKUP(2,1/(([1]العمليات!$B$2:$B$1000=A15)*([1]العمليات!$I$2:$I$1000&lt;&gt;"")),[1]العمليات!$I$2:$I$1000),""))</f>
        <v>1</v>
      </c>
    </row>
    <row r="16" spans="1:5" x14ac:dyDescent="0.35">
      <c r="A16" s="3" t="s">
        <v>394</v>
      </c>
      <c r="B16" s="3" t="s">
        <v>395</v>
      </c>
      <c r="C16" s="4">
        <f>SUMIFS([1]العمليات!G:G, [1]العمليات!B:B, A16, [1]العمليات!C:C, "إدخال") - SUMIFS([1]العمليات!G:G, [1]العمليات!B:B, A16, [1]العمليات!C:C, "إخراج")</f>
        <v>260</v>
      </c>
      <c r="D16" s="3" t="str">
        <f>IF(A16="","",IFERROR(LOOKUP(2,1/(([1]العمليات!$B$2:$B$1000=A16)*([1]العمليات!$H$2:$H$1000&lt;&gt;"")),[1]العمليات!$H$2:$H$1000),""))</f>
        <v/>
      </c>
      <c r="E16" s="3" t="str">
        <f>IF(A16="","",IFERROR(LOOKUP(2,1/(([1]العمليات!$B$2:$B$1000=A16)*([1]العمليات!$I$2:$I$1000&lt;&gt;"")),[1]العمليات!$I$2:$I$1000),""))</f>
        <v/>
      </c>
    </row>
    <row r="17" spans="1:5" x14ac:dyDescent="0.35">
      <c r="A17" s="5" t="s">
        <v>396</v>
      </c>
      <c r="B17" s="5" t="s">
        <v>397</v>
      </c>
      <c r="C17" s="6">
        <f>SUMIFS([1]العمليات!G:G, [1]العمليات!B:B, A17, [1]العمليات!C:C, "إدخال") - SUMIFS([1]العمليات!G:G, [1]العمليات!B:B, A17, [1]العمليات!C:C, "إخراج")</f>
        <v>0</v>
      </c>
      <c r="D17" s="5" t="str">
        <f>IF(A17="","",IFERROR(LOOKUP(2,1/(([1]العمليات!$B$2:$B$1000=A17)*([1]العمليات!$H$2:$H$1000&lt;&gt;"")),[1]العمليات!$H$2:$H$1000),""))</f>
        <v/>
      </c>
      <c r="E17" s="5" t="str">
        <f>IF(A17="","",IFERROR(LOOKUP(2,1/(([1]العمليات!$B$2:$B$1000=A17)*([1]العمليات!$I$2:$I$1000&lt;&gt;"")),[1]العمليات!$I$2:$I$1000),""))</f>
        <v/>
      </c>
    </row>
    <row r="18" spans="1:5" x14ac:dyDescent="0.35">
      <c r="A18" s="3" t="s">
        <v>17</v>
      </c>
      <c r="B18" s="3" t="s">
        <v>18</v>
      </c>
      <c r="C18" s="4">
        <f>SUMIFS([1]العمليات!G:G, [1]العمليات!B:B, A18, [1]العمليات!C:C, "إدخال") - SUMIFS([1]العمليات!G:G, [1]العمليات!B:B, A18, [1]العمليات!C:C, "إخراج")</f>
        <v>582</v>
      </c>
      <c r="D18" s="3">
        <f>IF(A18="","",IFERROR(LOOKUP(2,1/(([1]العمليات!$B$2:$B$1000=A18)*([1]العمليات!$H$2:$H$1000&lt;&gt;"")),[1]العمليات!$H$2:$H$1000),""))</f>
        <v>1</v>
      </c>
      <c r="E18" s="3">
        <f>IF(A18="","",IFERROR(LOOKUP(2,1/(([1]العمليات!$B$2:$B$1000=A18)*([1]العمليات!$I$2:$I$1000&lt;&gt;"")),[1]العمليات!$I$2:$I$1000),""))</f>
        <v>6</v>
      </c>
    </row>
    <row r="19" spans="1:5" x14ac:dyDescent="0.35">
      <c r="A19" s="5" t="s">
        <v>19</v>
      </c>
      <c r="B19" s="5" t="s">
        <v>20</v>
      </c>
      <c r="C19" s="6">
        <f>SUMIFS([1]العمليات!G:G, [1]العمليات!B:B, A19, [1]العمليات!C:C, "إدخال") - SUMIFS([1]العمليات!G:G, [1]العمليات!B:B, A19, [1]العمليات!C:C, "إخراج")</f>
        <v>437</v>
      </c>
      <c r="D19" s="5">
        <f>IF(A19="","",IFERROR(LOOKUP(2,1/(([1]العمليات!$B$2:$B$1000=A19)*([1]العمليات!$H$2:$H$1000&lt;&gt;"")),[1]العمليات!$H$2:$H$1000),""))</f>
        <v>3</v>
      </c>
      <c r="E19" s="5">
        <f>IF(A19="","",IFERROR(LOOKUP(2,1/(([1]العمليات!$B$2:$B$1000=A19)*([1]العمليات!$I$2:$I$1000&lt;&gt;"")),[1]العمليات!$I$2:$I$1000),""))</f>
        <v>5</v>
      </c>
    </row>
    <row r="20" spans="1:5" x14ac:dyDescent="0.35">
      <c r="A20" s="3" t="s">
        <v>398</v>
      </c>
      <c r="B20" s="3" t="s">
        <v>399</v>
      </c>
      <c r="C20" s="4">
        <f>SUMIFS([1]العمليات!G:G, [1]العمليات!B:B, A20, [1]العمليات!C:C, "إدخال") - SUMIFS([1]العمليات!G:G, [1]العمليات!B:B, A20, [1]العمليات!C:C, "إخراج")</f>
        <v>424</v>
      </c>
      <c r="D20" s="3" t="str">
        <f>IF(A20="","",IFERROR(LOOKUP(2,1/(([1]العمليات!$B$2:$B$1000=A20)*([1]العمليات!$H$2:$H$1000&lt;&gt;"")),[1]العمليات!$H$2:$H$1000),""))</f>
        <v/>
      </c>
      <c r="E20" s="3" t="str">
        <f>IF(A20="","",IFERROR(LOOKUP(2,1/(([1]العمليات!$B$2:$B$1000=A20)*([1]العمليات!$I$2:$I$1000&lt;&gt;"")),[1]العمليات!$I$2:$I$1000),""))</f>
        <v/>
      </c>
    </row>
    <row r="21" spans="1:5" x14ac:dyDescent="0.35">
      <c r="A21" s="5" t="s">
        <v>400</v>
      </c>
      <c r="B21" s="5" t="s">
        <v>401</v>
      </c>
      <c r="C21" s="6">
        <f>SUMIFS([1]العمليات!G:G, [1]العمليات!B:B, A21, [1]العمليات!C:C, "إدخال") - SUMIFS([1]العمليات!G:G, [1]العمليات!B:B, A21, [1]العمليات!C:C, "إخراج")</f>
        <v>200</v>
      </c>
      <c r="D21" s="5">
        <f>IF(A21="","",IFERROR(LOOKUP(2,1/(([1]العمليات!$B$2:$B$1000=A21)*([1]العمليات!$H$2:$H$1000&lt;&gt;"")),[1]العمليات!$H$2:$H$1000),""))</f>
        <v>2</v>
      </c>
      <c r="E21" s="5" t="str">
        <f>IF(A21="","",IFERROR(LOOKUP(2,1/(([1]العمليات!$B$2:$B$1000=A21)*([1]العمليات!$I$2:$I$1000&lt;&gt;"")),[1]العمليات!$I$2:$I$1000),""))</f>
        <v>1ط2</v>
      </c>
    </row>
    <row r="22" spans="1:5" x14ac:dyDescent="0.35">
      <c r="A22" s="3" t="s">
        <v>402</v>
      </c>
      <c r="B22" s="3" t="s">
        <v>403</v>
      </c>
      <c r="C22" s="4">
        <f>SUMIFS([1]العمليات!G:G, [1]العمليات!B:B, A22, [1]العمليات!C:C, "إدخال") - SUMIFS([1]العمليات!G:G, [1]العمليات!B:B, A22, [1]العمليات!C:C, "إخراج")</f>
        <v>0</v>
      </c>
      <c r="D22" s="3" t="str">
        <f>IF(A22="","",IFERROR(LOOKUP(2,1/(([1]العمليات!$B$2:$B$1000=A22)*([1]العمليات!$H$2:$H$1000&lt;&gt;"")),[1]العمليات!$H$2:$H$1000),""))</f>
        <v/>
      </c>
      <c r="E22" s="3" t="str">
        <f>IF(A22="","",IFERROR(LOOKUP(2,1/(([1]العمليات!$B$2:$B$1000=A22)*([1]العمليات!$I$2:$I$1000&lt;&gt;"")),[1]العمليات!$I$2:$I$1000),""))</f>
        <v/>
      </c>
    </row>
    <row r="23" spans="1:5" x14ac:dyDescent="0.35">
      <c r="A23" s="5" t="s">
        <v>21</v>
      </c>
      <c r="B23" s="5" t="s">
        <v>22</v>
      </c>
      <c r="C23" s="6">
        <f>SUMIFS([1]العمليات!G:G, [1]العمليات!B:B, A23, [1]العمليات!C:C, "إدخال") - SUMIFS([1]العمليات!G:G, [1]العمليات!B:B, A23, [1]العمليات!C:C, "إخراج")</f>
        <v>5069</v>
      </c>
      <c r="D23" s="5" t="str">
        <f>IF(A23="","",IFERROR(LOOKUP(2,1/(([1]العمليات!$B$2:$B$1000=A23)*([1]العمليات!$H$2:$H$1000&lt;&gt;"")),[1]العمليات!$H$2:$H$1000),""))</f>
        <v>مختوم ومسك</v>
      </c>
      <c r="E23" s="5" t="str">
        <f>IF(A23="","",IFERROR(LOOKUP(2,1/(([1]العمليات!$B$2:$B$1000=A23)*([1]العمليات!$I$2:$I$1000&lt;&gt;"")),[1]العمليات!$I$2:$I$1000),""))</f>
        <v>-</v>
      </c>
    </row>
    <row r="24" spans="1:5" x14ac:dyDescent="0.35">
      <c r="A24" s="3" t="s">
        <v>23</v>
      </c>
      <c r="B24" s="3" t="s">
        <v>24</v>
      </c>
      <c r="C24" s="4">
        <f>SUMIFS([1]العمليات!G:G, [1]العمليات!B:B, A24, [1]العمليات!C:C, "إدخال") - SUMIFS([1]العمليات!G:G, [1]العمليات!B:B, A24, [1]العمليات!C:C, "إخراج")</f>
        <v>1177</v>
      </c>
      <c r="D24" s="3">
        <f>IF(A24="","",IFERROR(LOOKUP(2,1/(([1]العمليات!$B$2:$B$1000=A24)*([1]العمليات!$H$2:$H$1000&lt;&gt;"")),[1]العمليات!$H$2:$H$1000),""))</f>
        <v>2</v>
      </c>
      <c r="E24" s="3">
        <f>IF(A24="","",IFERROR(LOOKUP(2,1/(([1]العمليات!$B$2:$B$1000=A24)*([1]العمليات!$I$2:$I$1000&lt;&gt;"")),[1]العمليات!$I$2:$I$1000),""))</f>
        <v>3</v>
      </c>
    </row>
    <row r="25" spans="1:5" x14ac:dyDescent="0.35">
      <c r="A25" s="5" t="s">
        <v>25</v>
      </c>
      <c r="B25" s="5" t="s">
        <v>26</v>
      </c>
      <c r="C25" s="6">
        <f>SUMIFS([1]العمليات!G:G, [1]العمليات!B:B, A25, [1]العمليات!C:C, "إدخال") - SUMIFS([1]العمليات!G:G, [1]العمليات!B:B, A25, [1]العمليات!C:C, "إخراج")</f>
        <v>964</v>
      </c>
      <c r="D25" s="5">
        <f>IF(A25="","",IFERROR(LOOKUP(2,1/(([1]العمليات!$B$2:$B$1000=A25)*([1]العمليات!$H$2:$H$1000&lt;&gt;"")),[1]العمليات!$H$2:$H$1000),""))</f>
        <v>2</v>
      </c>
      <c r="E25" s="5">
        <f>IF(A25="","",IFERROR(LOOKUP(2,1/(([1]العمليات!$B$2:$B$1000=A25)*([1]العمليات!$I$2:$I$1000&lt;&gt;"")),[1]العمليات!$I$2:$I$1000),""))</f>
        <v>3</v>
      </c>
    </row>
    <row r="26" spans="1:5" x14ac:dyDescent="0.35">
      <c r="A26" s="3" t="s">
        <v>27</v>
      </c>
      <c r="B26" s="3" t="s">
        <v>28</v>
      </c>
      <c r="C26" s="4">
        <f>SUMIFS([1]العمليات!G:G, [1]العمليات!B:B, A26, [1]العمليات!C:C, "إدخال") - SUMIFS([1]العمليات!G:G, [1]العمليات!B:B, A26, [1]العمليات!C:C, "إخراج")</f>
        <v>704</v>
      </c>
      <c r="D26" s="3">
        <f>IF(A26="","",IFERROR(LOOKUP(2,1/(([1]العمليات!$B$2:$B$1000=A26)*([1]العمليات!$H$2:$H$1000&lt;&gt;"")),[1]العمليات!$H$2:$H$1000),""))</f>
        <v>3</v>
      </c>
      <c r="E26" s="3">
        <f>IF(A26="","",IFERROR(LOOKUP(2,1/(([1]العمليات!$B$2:$B$1000=A26)*([1]العمليات!$I$2:$I$1000&lt;&gt;"")),[1]العمليات!$I$2:$I$1000),""))</f>
        <v>3</v>
      </c>
    </row>
    <row r="27" spans="1:5" x14ac:dyDescent="0.35">
      <c r="A27" s="5" t="s">
        <v>404</v>
      </c>
      <c r="B27" s="5" t="s">
        <v>405</v>
      </c>
      <c r="C27" s="6">
        <f>SUMIFS([1]العمليات!G:G, [1]العمليات!B:B, A27, [1]العمليات!C:C, "إدخال") - SUMIFS([1]العمليات!G:G, [1]العمليات!B:B, A27, [1]العمليات!C:C, "إخراج")</f>
        <v>271</v>
      </c>
      <c r="D27" s="5" t="str">
        <f>IF(A27="","",IFERROR(LOOKUP(2,1/(([1]العمليات!$B$2:$B$1000=A27)*([1]العمليات!$H$2:$H$1000&lt;&gt;"")),[1]العمليات!$H$2:$H$1000),""))</f>
        <v/>
      </c>
      <c r="E27" s="5" t="str">
        <f>IF(A27="","",IFERROR(LOOKUP(2,1/(([1]العمليات!$B$2:$B$1000=A27)*([1]العمليات!$I$2:$I$1000&lt;&gt;"")),[1]العمليات!$I$2:$I$1000),""))</f>
        <v/>
      </c>
    </row>
    <row r="28" spans="1:5" x14ac:dyDescent="0.35">
      <c r="A28" s="3" t="s">
        <v>29</v>
      </c>
      <c r="B28" s="3" t="s">
        <v>30</v>
      </c>
      <c r="C28" s="4">
        <f>SUMIFS([1]العمليات!G:G, [1]العمليات!B:B, A28, [1]العمليات!C:C, "إدخال") - SUMIFS([1]العمليات!G:G, [1]العمليات!B:B, A28, [1]العمليات!C:C, "إخراج")</f>
        <v>29</v>
      </c>
      <c r="D28" s="3">
        <f>IF(A28="","",IFERROR(LOOKUP(2,1/(([1]العمليات!$B$2:$B$1000=A28)*([1]العمليات!$H$2:$H$1000&lt;&gt;"")),[1]العمليات!$H$2:$H$1000),""))</f>
        <v>1</v>
      </c>
      <c r="E28" s="3">
        <f>IF(A28="","",IFERROR(LOOKUP(2,1/(([1]العمليات!$B$2:$B$1000=A28)*([1]العمليات!$I$2:$I$1000&lt;&gt;"")),[1]العمليات!$I$2:$I$1000),""))</f>
        <v>3</v>
      </c>
    </row>
    <row r="29" spans="1:5" x14ac:dyDescent="0.35">
      <c r="A29" s="5" t="s">
        <v>31</v>
      </c>
      <c r="B29" s="5" t="s">
        <v>32</v>
      </c>
      <c r="C29" s="6">
        <f>SUMIFS([1]العمليات!G:G, [1]العمليات!B:B, A29, [1]العمليات!C:C, "إدخال") - SUMIFS([1]العمليات!G:G, [1]العمليات!B:B, A29, [1]العمليات!C:C, "إخراج")</f>
        <v>1126</v>
      </c>
      <c r="D29" s="5">
        <f>IF(A29="","",IFERROR(LOOKUP(2,1/(([1]العمليات!$B$2:$B$1000=A29)*([1]العمليات!$H$2:$H$1000&lt;&gt;"")),[1]العمليات!$H$2:$H$1000),""))</f>
        <v>3</v>
      </c>
      <c r="E29" s="5" t="str">
        <f>IF(A29="","",IFERROR(LOOKUP(2,1/(([1]العمليات!$B$2:$B$1000=A29)*([1]العمليات!$I$2:$I$1000&lt;&gt;"")),[1]العمليات!$I$2:$I$1000),""))</f>
        <v>1ط2</v>
      </c>
    </row>
    <row r="30" spans="1:5" x14ac:dyDescent="0.35">
      <c r="A30" s="3" t="s">
        <v>406</v>
      </c>
      <c r="B30" s="3" t="s">
        <v>407</v>
      </c>
      <c r="C30" s="4">
        <f>SUMIFS([1]العمليات!G:G, [1]العمليات!B:B, A30, [1]العمليات!C:C, "إدخال") - SUMIFS([1]العمليات!G:G, [1]العمليات!B:B, A30, [1]العمليات!C:C, "إخراج")</f>
        <v>3</v>
      </c>
      <c r="D30" s="3" t="str">
        <f>IF(A30="","",IFERROR(LOOKUP(2,1/(([1]العمليات!$B$2:$B$1000=A30)*([1]العمليات!$H$2:$H$1000&lt;&gt;"")),[1]العمليات!$H$2:$H$1000),""))</f>
        <v/>
      </c>
      <c r="E30" s="3" t="str">
        <f>IF(A30="","",IFERROR(LOOKUP(2,1/(([1]العمليات!$B$2:$B$1000=A30)*([1]العمليات!$I$2:$I$1000&lt;&gt;"")),[1]العمليات!$I$2:$I$1000),""))</f>
        <v/>
      </c>
    </row>
    <row r="31" spans="1:5" x14ac:dyDescent="0.35">
      <c r="A31" s="5" t="s">
        <v>33</v>
      </c>
      <c r="B31" s="5" t="s">
        <v>34</v>
      </c>
      <c r="C31" s="6">
        <f>SUMIFS([1]العمليات!G:G, [1]العمليات!B:B, A31, [1]العمليات!C:C, "إدخال") - SUMIFS([1]العمليات!G:G, [1]العمليات!B:B, A31, [1]العمليات!C:C, "إخراج")</f>
        <v>1150</v>
      </c>
      <c r="D31" s="5">
        <f>IF(A31="","",IFERROR(LOOKUP(2,1/(([1]العمليات!$B$2:$B$1000=A31)*([1]العمليات!$H$2:$H$1000&lt;&gt;"")),[1]العمليات!$H$2:$H$1000),""))</f>
        <v>3</v>
      </c>
      <c r="E31" s="5">
        <f>IF(A31="","",IFERROR(LOOKUP(2,1/(([1]العمليات!$B$2:$B$1000=A31)*([1]العمليات!$I$2:$I$1000&lt;&gt;"")),[1]العمليات!$I$2:$I$1000),""))</f>
        <v>1</v>
      </c>
    </row>
    <row r="32" spans="1:5" x14ac:dyDescent="0.35">
      <c r="A32" s="3" t="s">
        <v>35</v>
      </c>
      <c r="B32" s="3" t="s">
        <v>36</v>
      </c>
      <c r="C32" s="4">
        <f>SUMIFS([1]العمليات!G:G, [1]العمليات!B:B, A32, [1]العمليات!C:C, "إدخال") - SUMIFS([1]العمليات!G:G, [1]العمليات!B:B, A32, [1]العمليات!C:C, "إخراج")</f>
        <v>706</v>
      </c>
      <c r="D32" s="3">
        <f>IF(A32="","",IFERROR(LOOKUP(2,1/(([1]العمليات!$B$2:$B$1000=A32)*([1]العمليات!$H$2:$H$1000&lt;&gt;"")),[1]العمليات!$H$2:$H$1000),""))</f>
        <v>1</v>
      </c>
      <c r="E32" s="3">
        <f>IF(A32="","",IFERROR(LOOKUP(2,1/(([1]العمليات!$B$2:$B$1000=A32)*([1]العمليات!$I$2:$I$1000&lt;&gt;"")),[1]العمليات!$I$2:$I$1000),""))</f>
        <v>4</v>
      </c>
    </row>
    <row r="33" spans="1:5" x14ac:dyDescent="0.35">
      <c r="A33" s="5" t="s">
        <v>37</v>
      </c>
      <c r="B33" s="5" t="s">
        <v>38</v>
      </c>
      <c r="C33" s="6">
        <f>SUMIFS([1]العمليات!G:G, [1]العمليات!B:B, A33, [1]العمليات!C:C, "إدخال") - SUMIFS([1]العمليات!G:G, [1]العمليات!B:B, A33, [1]العمليات!C:C, "إخراج")</f>
        <v>5</v>
      </c>
      <c r="D33" s="5">
        <f>IF(A33="","",IFERROR(LOOKUP(2,1/(([1]العمليات!$B$2:$B$1000=A33)*([1]العمليات!$H$2:$H$1000&lt;&gt;"")),[1]العمليات!$H$2:$H$1000),""))</f>
        <v>2</v>
      </c>
      <c r="E33" s="5">
        <f>IF(A33="","",IFERROR(LOOKUP(2,1/(([1]العمليات!$B$2:$B$1000=A33)*([1]العمليات!$I$2:$I$1000&lt;&gt;"")),[1]العمليات!$I$2:$I$1000),""))</f>
        <v>6</v>
      </c>
    </row>
    <row r="34" spans="1:5" x14ac:dyDescent="0.35">
      <c r="A34" s="3" t="s">
        <v>408</v>
      </c>
      <c r="B34" s="3" t="s">
        <v>409</v>
      </c>
      <c r="C34" s="4">
        <f>SUMIFS([1]العمليات!G:G, [1]العمليات!B:B, A34, [1]العمليات!C:C, "إدخال") - SUMIFS([1]العمليات!G:G, [1]العمليات!B:B, A34, [1]العمليات!C:C, "إخراج")</f>
        <v>218</v>
      </c>
      <c r="D34" s="3" t="str">
        <f>IF(A34="","",IFERROR(LOOKUP(2,1/(([1]العمليات!$B$2:$B$1000=A34)*([1]العمليات!$H$2:$H$1000&lt;&gt;"")),[1]العمليات!$H$2:$H$1000),""))</f>
        <v/>
      </c>
      <c r="E34" s="3" t="str">
        <f>IF(A34="","",IFERROR(LOOKUP(2,1/(([1]العمليات!$B$2:$B$1000=A34)*([1]العمليات!$I$2:$I$1000&lt;&gt;"")),[1]العمليات!$I$2:$I$1000),""))</f>
        <v/>
      </c>
    </row>
    <row r="35" spans="1:5" x14ac:dyDescent="0.35">
      <c r="A35" s="5" t="s">
        <v>39</v>
      </c>
      <c r="B35" s="5" t="s">
        <v>40</v>
      </c>
      <c r="C35" s="6">
        <f>SUMIFS([1]العمليات!G:G, [1]العمليات!B:B, A35, [1]العمليات!C:C, "إدخال") - SUMIFS([1]العمليات!G:G, [1]العمليات!B:B, A35, [1]العمليات!C:C, "إخراج")</f>
        <v>348</v>
      </c>
      <c r="D35" s="5">
        <f>IF(A35="","",IFERROR(LOOKUP(2,1/(([1]العمليات!$B$2:$B$1000=A35)*([1]العمليات!$H$2:$H$1000&lt;&gt;"")),[1]العمليات!$H$2:$H$1000),""))</f>
        <v>3</v>
      </c>
      <c r="E35" s="5">
        <f>IF(A35="","",IFERROR(LOOKUP(2,1/(([1]العمليات!$B$2:$B$1000=A35)*([1]العمليات!$I$2:$I$1000&lt;&gt;"")),[1]العمليات!$I$2:$I$1000),""))</f>
        <v>6</v>
      </c>
    </row>
    <row r="36" spans="1:5" x14ac:dyDescent="0.35">
      <c r="A36" s="3" t="s">
        <v>41</v>
      </c>
      <c r="B36" s="3" t="s">
        <v>42</v>
      </c>
      <c r="C36" s="4">
        <f>SUMIFS([1]العمليات!G:G, [1]العمليات!B:B, A36, [1]العمليات!C:C, "إدخال") - SUMIFS([1]العمليات!G:G, [1]العمليات!B:B, A36, [1]العمليات!C:C, "إخراج")</f>
        <v>629</v>
      </c>
      <c r="D36" s="3">
        <f>IF(A36="","",IFERROR(LOOKUP(2,1/(([1]العمليات!$B$2:$B$1000=A36)*([1]العمليات!$H$2:$H$1000&lt;&gt;"")),[1]العمليات!$H$2:$H$1000),""))</f>
        <v>4</v>
      </c>
      <c r="E36" s="3">
        <f>IF(A36="","",IFERROR(LOOKUP(2,1/(([1]العمليات!$B$2:$B$1000=A36)*([1]العمليات!$I$2:$I$1000&lt;&gt;"")),[1]العمليات!$I$2:$I$1000),""))</f>
        <v>6</v>
      </c>
    </row>
    <row r="37" spans="1:5" x14ac:dyDescent="0.35">
      <c r="A37" s="5" t="s">
        <v>43</v>
      </c>
      <c r="B37" s="5" t="s">
        <v>44</v>
      </c>
      <c r="C37" s="6">
        <f>SUMIFS([1]العمليات!G:G, [1]العمليات!B:B, A37, [1]العمليات!C:C, "إدخال") - SUMIFS([1]العمليات!G:G, [1]العمليات!B:B, A37, [1]العمليات!C:C, "إخراج")</f>
        <v>1414</v>
      </c>
      <c r="D37" s="5">
        <f>IF(A37="","",IFERROR(LOOKUP(2,1/(([1]العمليات!$B$2:$B$1000=A37)*([1]العمليات!$H$2:$H$1000&lt;&gt;"")),[1]العمليات!$H$2:$H$1000),""))</f>
        <v>1</v>
      </c>
      <c r="E37" s="5">
        <f>IF(A37="","",IFERROR(LOOKUP(2,1/(([1]العمليات!$B$2:$B$1000=A37)*([1]العمليات!$I$2:$I$1000&lt;&gt;"")),[1]العمليات!$I$2:$I$1000),""))</f>
        <v>3</v>
      </c>
    </row>
    <row r="38" spans="1:5" x14ac:dyDescent="0.35">
      <c r="A38" s="3" t="s">
        <v>410</v>
      </c>
      <c r="B38" s="3" t="s">
        <v>411</v>
      </c>
      <c r="C38" s="4">
        <f>SUMIFS([1]العمليات!G:G, [1]العمليات!B:B, A38, [1]العمليات!C:C, "إدخال") - SUMIFS([1]العمليات!G:G, [1]العمليات!B:B, A38, [1]العمليات!C:C, "إخراج")</f>
        <v>675</v>
      </c>
      <c r="D38" s="3" t="str">
        <f>IF(A38="","",IFERROR(LOOKUP(2,1/(([1]العمليات!$B$2:$B$1000=A38)*([1]العمليات!$H$2:$H$1000&lt;&gt;"")),[1]العمليات!$H$2:$H$1000),""))</f>
        <v/>
      </c>
      <c r="E38" s="3" t="str">
        <f>IF(A38="","",IFERROR(LOOKUP(2,1/(([1]العمليات!$B$2:$B$1000=A38)*([1]العمليات!$I$2:$I$1000&lt;&gt;"")),[1]العمليات!$I$2:$I$1000),""))</f>
        <v/>
      </c>
    </row>
    <row r="39" spans="1:5" x14ac:dyDescent="0.35">
      <c r="A39" s="5" t="s">
        <v>412</v>
      </c>
      <c r="B39" s="5" t="s">
        <v>413</v>
      </c>
      <c r="C39" s="6">
        <f>SUMIFS([1]العمليات!G:G, [1]العمليات!B:B, A39, [1]العمليات!C:C, "إدخال") - SUMIFS([1]العمليات!G:G, [1]العمليات!B:B, A39, [1]العمليات!C:C, "إخراج")</f>
        <v>407</v>
      </c>
      <c r="D39" s="5">
        <f>IF(A39="","",IFERROR(LOOKUP(2,1/(([1]العمليات!$B$2:$B$1000=A39)*([1]العمليات!$H$2:$H$1000&lt;&gt;"")),[1]العمليات!$H$2:$H$1000),""))</f>
        <v>3</v>
      </c>
      <c r="E39" s="5">
        <f>IF(A39="","",IFERROR(LOOKUP(2,1/(([1]العمليات!$B$2:$B$1000=A39)*([1]العمليات!$I$2:$I$1000&lt;&gt;"")),[1]العمليات!$I$2:$I$1000),""))</f>
        <v>5</v>
      </c>
    </row>
    <row r="40" spans="1:5" x14ac:dyDescent="0.35">
      <c r="A40" s="3" t="s">
        <v>414</v>
      </c>
      <c r="B40" s="3" t="s">
        <v>415</v>
      </c>
      <c r="C40" s="4">
        <f>SUMIFS([1]العمليات!G:G, [1]العمليات!B:B, A40, [1]العمليات!C:C, "إدخال") - SUMIFS([1]العمليات!G:G, [1]العمليات!B:B, A40, [1]العمليات!C:C, "إخراج")</f>
        <v>180</v>
      </c>
      <c r="D40" s="3" t="str">
        <f>IF(A40="","",IFERROR(LOOKUP(2,1/(([1]العمليات!$B$2:$B$1000=A40)*([1]العمليات!$H$2:$H$1000&lt;&gt;"")),[1]العمليات!$H$2:$H$1000),""))</f>
        <v/>
      </c>
      <c r="E40" s="3" t="str">
        <f>IF(A40="","",IFERROR(LOOKUP(2,1/(([1]العمليات!$B$2:$B$1000=A40)*([1]العمليات!$I$2:$I$1000&lt;&gt;"")),[1]العمليات!$I$2:$I$1000),""))</f>
        <v/>
      </c>
    </row>
    <row r="41" spans="1:5" x14ac:dyDescent="0.35">
      <c r="A41" s="5" t="s">
        <v>416</v>
      </c>
      <c r="B41" s="5" t="s">
        <v>417</v>
      </c>
      <c r="C41" s="6">
        <f>SUMIFS([1]العمليات!G:G, [1]العمليات!B:B, A41, [1]العمليات!C:C, "إدخال") - SUMIFS([1]العمليات!G:G, [1]العمليات!B:B, A41, [1]العمليات!C:C, "إخراج")</f>
        <v>267</v>
      </c>
      <c r="D41" s="5" t="str">
        <f>IF(A41="","",IFERROR(LOOKUP(2,1/(([1]العمليات!$B$2:$B$1000=A41)*([1]العمليات!$H$2:$H$1000&lt;&gt;"")),[1]العمليات!$H$2:$H$1000),""))</f>
        <v/>
      </c>
      <c r="E41" s="5" t="str">
        <f>IF(A41="","",IFERROR(LOOKUP(2,1/(([1]العمليات!$B$2:$B$1000=A41)*([1]العمليات!$I$2:$I$1000&lt;&gt;"")),[1]العمليات!$I$2:$I$1000),""))</f>
        <v/>
      </c>
    </row>
    <row r="42" spans="1:5" x14ac:dyDescent="0.35">
      <c r="A42" s="3" t="s">
        <v>45</v>
      </c>
      <c r="B42" s="3" t="s">
        <v>46</v>
      </c>
      <c r="C42" s="4">
        <f>SUMIFS([1]العمليات!G:G, [1]العمليات!B:B, A42, [1]العمليات!C:C, "إدخال") - SUMIFS([1]العمليات!G:G, [1]العمليات!B:B, A42, [1]العمليات!C:C, "إخراج")</f>
        <v>852</v>
      </c>
      <c r="D42" s="3">
        <f>IF(A42="","",IFERROR(LOOKUP(2,1/(([1]العمليات!$B$2:$B$1000=A42)*([1]العمليات!$H$2:$H$1000&lt;&gt;"")),[1]العمليات!$H$2:$H$1000),""))</f>
        <v>2</v>
      </c>
      <c r="E42" s="3">
        <f>IF(A42="","",IFERROR(LOOKUP(2,1/(([1]العمليات!$B$2:$B$1000=A42)*([1]العمليات!$I$2:$I$1000&lt;&gt;"")),[1]العمليات!$I$2:$I$1000),""))</f>
        <v>1</v>
      </c>
    </row>
    <row r="43" spans="1:5" x14ac:dyDescent="0.35">
      <c r="A43" s="5" t="s">
        <v>47</v>
      </c>
      <c r="B43" s="5" t="s">
        <v>48</v>
      </c>
      <c r="C43" s="6">
        <f>SUMIFS([1]العمليات!G:G, [1]العمليات!B:B, A43, [1]العمليات!C:C, "إدخال") - SUMIFS([1]العمليات!G:G, [1]العمليات!B:B, A43, [1]العمليات!C:C, "إخراج")</f>
        <v>1002</v>
      </c>
      <c r="D43" s="5">
        <f>IF(A43="","",IFERROR(LOOKUP(2,1/(([1]العمليات!$B$2:$B$1000=A43)*([1]العمليات!$H$2:$H$1000&lt;&gt;"")),[1]العمليات!$H$2:$H$1000),""))</f>
        <v>6</v>
      </c>
      <c r="E43" s="5">
        <f>IF(A43="","",IFERROR(LOOKUP(2,1/(([1]العمليات!$B$2:$B$1000=A43)*([1]العمليات!$I$2:$I$1000&lt;&gt;"")),[1]العمليات!$I$2:$I$1000),""))</f>
        <v>1</v>
      </c>
    </row>
    <row r="44" spans="1:5" x14ac:dyDescent="0.35">
      <c r="A44" s="3" t="s">
        <v>418</v>
      </c>
      <c r="B44" s="3" t="s">
        <v>419</v>
      </c>
      <c r="C44" s="4">
        <f>SUMIFS([1]العمليات!G:G, [1]العمليات!B:B, A44, [1]العمليات!C:C, "إدخال") - SUMIFS([1]العمليات!G:G, [1]العمليات!B:B, A44, [1]العمليات!C:C, "إخراج")</f>
        <v>295</v>
      </c>
      <c r="D44" s="3" t="str">
        <f>IF(A44="","",IFERROR(LOOKUP(2,1/(([1]العمليات!$B$2:$B$1000=A44)*([1]العمليات!$H$2:$H$1000&lt;&gt;"")),[1]العمليات!$H$2:$H$1000),""))</f>
        <v/>
      </c>
      <c r="E44" s="3" t="str">
        <f>IF(A44="","",IFERROR(LOOKUP(2,1/(([1]العمليات!$B$2:$B$1000=A44)*([1]العمليات!$I$2:$I$1000&lt;&gt;"")),[1]العمليات!$I$2:$I$1000),""))</f>
        <v/>
      </c>
    </row>
    <row r="45" spans="1:5" x14ac:dyDescent="0.35">
      <c r="A45" s="5" t="s">
        <v>49</v>
      </c>
      <c r="B45" s="5" t="s">
        <v>50</v>
      </c>
      <c r="C45" s="6">
        <f>SUMIFS([1]العمليات!G:G, [1]العمليات!B:B, A45, [1]العمليات!C:C, "إدخال") - SUMIFS([1]العمليات!G:G, [1]العمليات!B:B, A45, [1]العمليات!C:C, "إخراج")</f>
        <v>828</v>
      </c>
      <c r="D45" s="5">
        <f>IF(A45="","",IFERROR(LOOKUP(2,1/(([1]العمليات!$B$2:$B$1000=A45)*([1]العمليات!$H$2:$H$1000&lt;&gt;"")),[1]العمليات!$H$2:$H$1000),""))</f>
        <v>6</v>
      </c>
      <c r="E45" s="5">
        <f>IF(A45="","",IFERROR(LOOKUP(2,1/(([1]العمليات!$B$2:$B$1000=A45)*([1]العمليات!$I$2:$I$1000&lt;&gt;"")),[1]العمليات!$I$2:$I$1000),""))</f>
        <v>3</v>
      </c>
    </row>
    <row r="46" spans="1:5" x14ac:dyDescent="0.35">
      <c r="A46" s="3" t="s">
        <v>420</v>
      </c>
      <c r="B46" s="3" t="s">
        <v>421</v>
      </c>
      <c r="C46" s="4">
        <f>SUMIFS([1]العمليات!G:G, [1]العمليات!B:B, A46, [1]العمليات!C:C, "إدخال") - SUMIFS([1]العمليات!G:G, [1]العمليات!B:B, A46, [1]العمليات!C:C, "إخراج")</f>
        <v>349</v>
      </c>
      <c r="D46" s="3" t="str">
        <f>IF(A46="","",IFERROR(LOOKUP(2,1/(([1]العمليات!$B$2:$B$1000=A46)*([1]العمليات!$H$2:$H$1000&lt;&gt;"")),[1]العمليات!$H$2:$H$1000),""))</f>
        <v/>
      </c>
      <c r="E46" s="3" t="str">
        <f>IF(A46="","",IFERROR(LOOKUP(2,1/(([1]العمليات!$B$2:$B$1000=A46)*([1]العمليات!$I$2:$I$1000&lt;&gt;"")),[1]العمليات!$I$2:$I$1000),""))</f>
        <v/>
      </c>
    </row>
    <row r="47" spans="1:5" x14ac:dyDescent="0.35">
      <c r="A47" s="5" t="s">
        <v>51</v>
      </c>
      <c r="B47" s="5" t="s">
        <v>52</v>
      </c>
      <c r="C47" s="6">
        <f>SUMIFS([1]العمليات!G:G, [1]العمليات!B:B, A47, [1]العمليات!C:C, "إدخال") - SUMIFS([1]العمليات!G:G, [1]العمليات!B:B, A47, [1]العمليات!C:C, "إخراج")</f>
        <v>1268</v>
      </c>
      <c r="D47" s="5">
        <f>IF(A47="","",IFERROR(LOOKUP(2,1/(([1]العمليات!$B$2:$B$1000=A47)*([1]العمليات!$H$2:$H$1000&lt;&gt;"")),[1]العمليات!$H$2:$H$1000),""))</f>
        <v>2</v>
      </c>
      <c r="E47" s="5">
        <f>IF(A47="","",IFERROR(LOOKUP(2,1/(([1]العمليات!$B$2:$B$1000=A47)*([1]العمليات!$I$2:$I$1000&lt;&gt;"")),[1]العمليات!$I$2:$I$1000),""))</f>
        <v>4</v>
      </c>
    </row>
    <row r="48" spans="1:5" x14ac:dyDescent="0.35">
      <c r="A48" s="3" t="s">
        <v>422</v>
      </c>
      <c r="B48" s="3" t="s">
        <v>423</v>
      </c>
      <c r="C48" s="4">
        <f>SUMIFS([1]العمليات!G:G, [1]العمليات!B:B, A48, [1]العمليات!C:C, "إدخال") - SUMIFS([1]العمليات!G:G, [1]العمليات!B:B, A48, [1]العمليات!C:C, "إخراج")</f>
        <v>4</v>
      </c>
      <c r="D48" s="3" t="str">
        <f>IF(A48="","",IFERROR(LOOKUP(2,1/(([1]العمليات!$B$2:$B$1000=A48)*([1]العمليات!$H$2:$H$1000&lt;&gt;"")),[1]العمليات!$H$2:$H$1000),""))</f>
        <v/>
      </c>
      <c r="E48" s="3" t="str">
        <f>IF(A48="","",IFERROR(LOOKUP(2,1/(([1]العمليات!$B$2:$B$1000=A48)*([1]العمليات!$I$2:$I$1000&lt;&gt;"")),[1]العمليات!$I$2:$I$1000),""))</f>
        <v/>
      </c>
    </row>
    <row r="49" spans="1:5" x14ac:dyDescent="0.35">
      <c r="A49" s="5" t="s">
        <v>424</v>
      </c>
      <c r="B49" s="5" t="s">
        <v>425</v>
      </c>
      <c r="C49" s="6">
        <f>SUMIFS([1]العمليات!G:G, [1]العمليات!B:B, A49, [1]العمليات!C:C, "إدخال") - SUMIFS([1]العمليات!G:G, [1]العمليات!B:B, A49, [1]العمليات!C:C, "إخراج")</f>
        <v>179</v>
      </c>
      <c r="D49" s="5" t="str">
        <f>IF(A49="","",IFERROR(LOOKUP(2,1/(([1]العمليات!$B$2:$B$1000=A49)*([1]العمليات!$H$2:$H$1000&lt;&gt;"")),[1]العمليات!$H$2:$H$1000),""))</f>
        <v/>
      </c>
      <c r="E49" s="5" t="str">
        <f>IF(A49="","",IFERROR(LOOKUP(2,1/(([1]العمليات!$B$2:$B$1000=A49)*([1]العمليات!$I$2:$I$1000&lt;&gt;"")),[1]العمليات!$I$2:$I$1000),""))</f>
        <v/>
      </c>
    </row>
    <row r="50" spans="1:5" x14ac:dyDescent="0.35">
      <c r="A50" s="3" t="s">
        <v>53</v>
      </c>
      <c r="B50" s="3" t="s">
        <v>54</v>
      </c>
      <c r="C50" s="4">
        <f>SUMIFS([1]العمليات!G:G, [1]العمليات!B:B, A50, [1]العمليات!C:C, "إدخال") - SUMIFS([1]العمليات!G:G, [1]العمليات!B:B, A50, [1]العمليات!C:C, "إخراج")</f>
        <v>1009</v>
      </c>
      <c r="D50" s="3">
        <f>IF(A50="","",IFERROR(LOOKUP(2,1/(([1]العمليات!$B$2:$B$1000=A50)*([1]العمليات!$H$2:$H$1000&lt;&gt;"")),[1]العمليات!$H$2:$H$1000),""))</f>
        <v>3</v>
      </c>
      <c r="E50" s="3" t="str">
        <f>IF(A50="","",IFERROR(LOOKUP(2,1/(([1]العمليات!$B$2:$B$1000=A50)*([1]العمليات!$I$2:$I$1000&lt;&gt;"")),[1]العمليات!$I$2:$I$1000),""))</f>
        <v>1ط2</v>
      </c>
    </row>
    <row r="51" spans="1:5" x14ac:dyDescent="0.35">
      <c r="A51" s="5" t="s">
        <v>55</v>
      </c>
      <c r="B51" s="5" t="s">
        <v>56</v>
      </c>
      <c r="C51" s="6">
        <f>SUMIFS([1]العمليات!G:G, [1]العمليات!B:B, A51, [1]العمليات!C:C, "إدخال") - SUMIFS([1]العمليات!G:G, [1]العمليات!B:B, A51, [1]العمليات!C:C, "إخراج")</f>
        <v>800</v>
      </c>
      <c r="D51" s="5">
        <f>IF(A51="","",IFERROR(LOOKUP(2,1/(([1]العمليات!$B$2:$B$1000=A51)*([1]العمليات!$H$2:$H$1000&lt;&gt;"")),[1]العمليات!$H$2:$H$1000),""))</f>
        <v>5</v>
      </c>
      <c r="E51" s="5">
        <f>IF(A51="","",IFERROR(LOOKUP(2,1/(([1]العمليات!$B$2:$B$1000=A51)*([1]العمليات!$I$2:$I$1000&lt;&gt;"")),[1]العمليات!$I$2:$I$1000),""))</f>
        <v>6</v>
      </c>
    </row>
    <row r="52" spans="1:5" x14ac:dyDescent="0.35">
      <c r="A52" s="3" t="s">
        <v>426</v>
      </c>
      <c r="B52" s="3" t="s">
        <v>427</v>
      </c>
      <c r="C52" s="4">
        <f>SUMIFS([1]العمليات!G:G, [1]العمليات!B:B, A52, [1]العمليات!C:C, "إدخال") - SUMIFS([1]العمليات!G:G, [1]العمليات!B:B, A52, [1]العمليات!C:C, "إخراج")</f>
        <v>700</v>
      </c>
      <c r="D52" s="3" t="str">
        <f>IF(A52="","",IFERROR(LOOKUP(2,1/(([1]العمليات!$B$2:$B$1000=A52)*([1]العمليات!$H$2:$H$1000&lt;&gt;"")),[1]العمليات!$H$2:$H$1000),""))</f>
        <v/>
      </c>
      <c r="E52" s="3" t="str">
        <f>IF(A52="","",IFERROR(LOOKUP(2,1/(([1]العمليات!$B$2:$B$1000=A52)*([1]العمليات!$I$2:$I$1000&lt;&gt;"")),[1]العمليات!$I$2:$I$1000),""))</f>
        <v/>
      </c>
    </row>
    <row r="53" spans="1:5" x14ac:dyDescent="0.35">
      <c r="A53" s="5" t="s">
        <v>428</v>
      </c>
      <c r="B53" s="5" t="s">
        <v>429</v>
      </c>
      <c r="C53" s="6">
        <f>SUMIFS([1]العمليات!G:G, [1]العمليات!B:B, A53, [1]العمليات!C:C, "إدخال") - SUMIFS([1]العمليات!G:G, [1]العمليات!B:B, A53, [1]العمليات!C:C, "إخراج")</f>
        <v>126</v>
      </c>
      <c r="D53" s="5" t="str">
        <f>IF(A53="","",IFERROR(LOOKUP(2,1/(([1]العمليات!$B$2:$B$1000=A53)*([1]العمليات!$H$2:$H$1000&lt;&gt;"")),[1]العمليات!$H$2:$H$1000),""))</f>
        <v/>
      </c>
      <c r="E53" s="5" t="str">
        <f>IF(A53="","",IFERROR(LOOKUP(2,1/(([1]العمليات!$B$2:$B$1000=A53)*([1]العمليات!$I$2:$I$1000&lt;&gt;"")),[1]العمليات!$I$2:$I$1000),""))</f>
        <v/>
      </c>
    </row>
    <row r="54" spans="1:5" x14ac:dyDescent="0.35">
      <c r="A54" s="3" t="s">
        <v>430</v>
      </c>
      <c r="B54" s="3" t="s">
        <v>431</v>
      </c>
      <c r="C54" s="4">
        <f>SUMIFS([1]العمليات!G:G, [1]العمليات!B:B, A54, [1]العمليات!C:C, "إدخال") - SUMIFS([1]العمليات!G:G, [1]العمليات!B:B, A54, [1]العمليات!C:C, "إخراج")</f>
        <v>255</v>
      </c>
      <c r="D54" s="3" t="str">
        <f>IF(A54="","",IFERROR(LOOKUP(2,1/(([1]العمليات!$B$2:$B$1000=A54)*([1]العمليات!$H$2:$H$1000&lt;&gt;"")),[1]العمليات!$H$2:$H$1000),""))</f>
        <v/>
      </c>
      <c r="E54" s="3" t="str">
        <f>IF(A54="","",IFERROR(LOOKUP(2,1/(([1]العمليات!$B$2:$B$1000=A54)*([1]العمليات!$I$2:$I$1000&lt;&gt;"")),[1]العمليات!$I$2:$I$1000),""))</f>
        <v/>
      </c>
    </row>
    <row r="55" spans="1:5" x14ac:dyDescent="0.35">
      <c r="A55" s="5" t="s">
        <v>432</v>
      </c>
      <c r="B55" s="5" t="s">
        <v>433</v>
      </c>
      <c r="C55" s="6">
        <f>SUMIFS([1]العمليات!G:G, [1]العمليات!B:B, A55, [1]العمليات!C:C, "إدخال") - SUMIFS([1]العمليات!G:G, [1]العمليات!B:B, A55, [1]العمليات!C:C, "إخراج")</f>
        <v>424</v>
      </c>
      <c r="D55" s="5" t="str">
        <f>IF(A55="","",IFERROR(LOOKUP(2,1/(([1]العمليات!$B$2:$B$1000=A55)*([1]العمليات!$H$2:$H$1000&lt;&gt;"")),[1]العمليات!$H$2:$H$1000),""))</f>
        <v/>
      </c>
      <c r="E55" s="5" t="str">
        <f>IF(A55="","",IFERROR(LOOKUP(2,1/(([1]العمليات!$B$2:$B$1000=A55)*([1]العمليات!$I$2:$I$1000&lt;&gt;"")),[1]العمليات!$I$2:$I$1000),""))</f>
        <v/>
      </c>
    </row>
    <row r="56" spans="1:5" x14ac:dyDescent="0.35">
      <c r="A56" s="3" t="s">
        <v>434</v>
      </c>
      <c r="B56" s="3" t="s">
        <v>435</v>
      </c>
      <c r="C56" s="4">
        <f>SUMIFS([1]العمليات!G:G, [1]العمليات!B:B, A56, [1]العمليات!C:C, "إدخال") - SUMIFS([1]العمليات!G:G, [1]العمليات!B:B, A56, [1]العمليات!C:C, "إخراج")</f>
        <v>734</v>
      </c>
      <c r="D56" s="3">
        <f>IF(A56="","",IFERROR(LOOKUP(2,1/(([1]العمليات!$B$2:$B$1000=A56)*([1]العمليات!$H$2:$H$1000&lt;&gt;"")),[1]العمليات!$H$2:$H$1000),""))</f>
        <v>5</v>
      </c>
      <c r="E56" s="3">
        <f>IF(A56="","",IFERROR(LOOKUP(2,1/(([1]العمليات!$B$2:$B$1000=A56)*([1]العمليات!$I$2:$I$1000&lt;&gt;"")),[1]العمليات!$I$2:$I$1000),""))</f>
        <v>3</v>
      </c>
    </row>
    <row r="57" spans="1:5" x14ac:dyDescent="0.35">
      <c r="A57" s="5" t="s">
        <v>436</v>
      </c>
      <c r="B57" s="5" t="s">
        <v>437</v>
      </c>
      <c r="C57" s="6">
        <f>SUMIFS([1]العمليات!G:G, [1]العمليات!B:B, A57, [1]العمليات!C:C, "إدخال") - SUMIFS([1]العمليات!G:G, [1]العمليات!B:B, A57, [1]العمليات!C:C, "إخراج")</f>
        <v>295</v>
      </c>
      <c r="D57" s="5" t="str">
        <f>IF(A57="","",IFERROR(LOOKUP(2,1/(([1]العمليات!$B$2:$B$1000=A57)*([1]العمليات!$H$2:$H$1000&lt;&gt;"")),[1]العمليات!$H$2:$H$1000),""))</f>
        <v/>
      </c>
      <c r="E57" s="5" t="str">
        <f>IF(A57="","",IFERROR(LOOKUP(2,1/(([1]العمليات!$B$2:$B$1000=A57)*([1]العمليات!$I$2:$I$1000&lt;&gt;"")),[1]العمليات!$I$2:$I$1000),""))</f>
        <v/>
      </c>
    </row>
    <row r="58" spans="1:5" x14ac:dyDescent="0.35">
      <c r="A58" s="3" t="s">
        <v>438</v>
      </c>
      <c r="B58" s="3" t="s">
        <v>439</v>
      </c>
      <c r="C58" s="4">
        <f>SUMIFS([1]العمليات!G:G, [1]العمليات!B:B, A58, [1]العمليات!C:C, "إدخال") - SUMIFS([1]العمليات!G:G, [1]العمليات!B:B, A58, [1]العمليات!C:C, "إخراج")</f>
        <v>744</v>
      </c>
      <c r="D58" s="3" t="str">
        <f>IF(A58="","",IFERROR(LOOKUP(2,1/(([1]العمليات!$B$2:$B$1000=A58)*([1]العمليات!$H$2:$H$1000&lt;&gt;"")),[1]العمليات!$H$2:$H$1000),""))</f>
        <v/>
      </c>
      <c r="E58" s="3" t="str">
        <f>IF(A58="","",IFERROR(LOOKUP(2,1/(([1]العمليات!$B$2:$B$1000=A58)*([1]العمليات!$I$2:$I$1000&lt;&gt;"")),[1]العمليات!$I$2:$I$1000),""))</f>
        <v/>
      </c>
    </row>
    <row r="59" spans="1:5" x14ac:dyDescent="0.35">
      <c r="A59" s="5" t="s">
        <v>57</v>
      </c>
      <c r="B59" s="5" t="s">
        <v>58</v>
      </c>
      <c r="C59" s="6">
        <f>SUMIFS([1]العمليات!G:G, [1]العمليات!B:B, A59, [1]العمليات!C:C, "إدخال") - SUMIFS([1]العمليات!G:G, [1]العمليات!B:B, A59, [1]العمليات!C:C, "إخراج")</f>
        <v>809</v>
      </c>
      <c r="D59" s="5">
        <f>IF(A59="","",IFERROR(LOOKUP(2,1/(([1]العمليات!$B$2:$B$1000=A59)*([1]العمليات!$H$2:$H$1000&lt;&gt;"")),[1]العمليات!$H$2:$H$1000),""))</f>
        <v>6</v>
      </c>
      <c r="E59" s="5">
        <f>IF(A59="","",IFERROR(LOOKUP(2,1/(([1]العمليات!$B$2:$B$1000=A59)*([1]العمليات!$I$2:$I$1000&lt;&gt;"")),[1]العمليات!$I$2:$I$1000),""))</f>
        <v>4</v>
      </c>
    </row>
    <row r="60" spans="1:5" x14ac:dyDescent="0.35">
      <c r="A60" s="3" t="s">
        <v>440</v>
      </c>
      <c r="B60" s="3" t="s">
        <v>441</v>
      </c>
      <c r="C60" s="4">
        <f>SUMIFS([1]العمليات!G:G, [1]العمليات!B:B, A60, [1]العمليات!C:C, "إدخال") - SUMIFS([1]العمليات!G:G, [1]العمليات!B:B, A60, [1]العمليات!C:C, "إخراج")</f>
        <v>282</v>
      </c>
      <c r="D60" s="3" t="str">
        <f>IF(A60="","",IFERROR(LOOKUP(2,1/(([1]العمليات!$B$2:$B$1000=A60)*([1]العمليات!$H$2:$H$1000&lt;&gt;"")),[1]العمليات!$H$2:$H$1000),""))</f>
        <v/>
      </c>
      <c r="E60" s="3" t="str">
        <f>IF(A60="","",IFERROR(LOOKUP(2,1/(([1]العمليات!$B$2:$B$1000=A60)*([1]العمليات!$I$2:$I$1000&lt;&gt;"")),[1]العمليات!$I$2:$I$1000),""))</f>
        <v/>
      </c>
    </row>
    <row r="61" spans="1:5" x14ac:dyDescent="0.35">
      <c r="A61" s="5" t="s">
        <v>442</v>
      </c>
      <c r="B61" s="5" t="s">
        <v>443</v>
      </c>
      <c r="C61" s="6">
        <f>SUMIFS([1]العمليات!G:G, [1]العمليات!B:B, A61, [1]العمليات!C:C, "إدخال") - SUMIFS([1]العمليات!G:G, [1]العمليات!B:B, A61, [1]العمليات!C:C, "إخراج")</f>
        <v>287</v>
      </c>
      <c r="D61" s="5" t="str">
        <f>IF(A61="","",IFERROR(LOOKUP(2,1/(([1]العمليات!$B$2:$B$1000=A61)*([1]العمليات!$H$2:$H$1000&lt;&gt;"")),[1]العمليات!$H$2:$H$1000),""))</f>
        <v/>
      </c>
      <c r="E61" s="5" t="str">
        <f>IF(A61="","",IFERROR(LOOKUP(2,1/(([1]العمليات!$B$2:$B$1000=A61)*([1]العمليات!$I$2:$I$1000&lt;&gt;"")),[1]العمليات!$I$2:$I$1000),""))</f>
        <v/>
      </c>
    </row>
    <row r="62" spans="1:5" x14ac:dyDescent="0.35">
      <c r="A62" s="3" t="s">
        <v>59</v>
      </c>
      <c r="B62" s="3" t="s">
        <v>60</v>
      </c>
      <c r="C62" s="4">
        <f>SUMIFS([1]العمليات!G:G, [1]العمليات!B:B, A62, [1]العمليات!C:C, "إدخال") - SUMIFS([1]العمليات!G:G, [1]العمليات!B:B, A62, [1]العمليات!C:C, "إخراج")</f>
        <v>0</v>
      </c>
      <c r="D62" s="3">
        <f>IF(A62="","",IFERROR(LOOKUP(2,1/(([1]العمليات!$B$2:$B$1000=A62)*([1]العمليات!$H$2:$H$1000&lt;&gt;"")),[1]العمليات!$H$2:$H$1000),""))</f>
        <v>3</v>
      </c>
      <c r="E62" s="3">
        <f>IF(A62="","",IFERROR(LOOKUP(2,1/(([1]العمليات!$B$2:$B$1000=A62)*([1]العمليات!$I$2:$I$1000&lt;&gt;"")),[1]العمليات!$I$2:$I$1000),""))</f>
        <v>7</v>
      </c>
    </row>
    <row r="63" spans="1:5" x14ac:dyDescent="0.35">
      <c r="A63" s="5" t="s">
        <v>444</v>
      </c>
      <c r="B63" s="5" t="s">
        <v>445</v>
      </c>
      <c r="C63" s="6">
        <f>SUMIFS([1]العمليات!G:G, [1]العمليات!B:B, A63, [1]العمليات!C:C, "إدخال") - SUMIFS([1]العمليات!G:G, [1]العمليات!B:B, A63, [1]العمليات!C:C, "إخراج")</f>
        <v>232</v>
      </c>
      <c r="D63" s="5" t="str">
        <f>IF(A63="","",IFERROR(LOOKUP(2,1/(([1]العمليات!$B$2:$B$1000=A63)*([1]العمليات!$H$2:$H$1000&lt;&gt;"")),[1]العمليات!$H$2:$H$1000),""))</f>
        <v/>
      </c>
      <c r="E63" s="5" t="str">
        <f>IF(A63="","",IFERROR(LOOKUP(2,1/(([1]العمليات!$B$2:$B$1000=A63)*([1]العمليات!$I$2:$I$1000&lt;&gt;"")),[1]العمليات!$I$2:$I$1000),""))</f>
        <v/>
      </c>
    </row>
    <row r="64" spans="1:5" x14ac:dyDescent="0.35">
      <c r="A64" s="3" t="s">
        <v>61</v>
      </c>
      <c r="B64" s="3" t="s">
        <v>62</v>
      </c>
      <c r="C64" s="4">
        <f>SUMIFS([1]العمليات!G:G, [1]العمليات!B:B, A64, [1]العمليات!C:C, "إدخال") - SUMIFS([1]العمليات!G:G, [1]العمليات!B:B, A64, [1]العمليات!C:C, "إخراج")</f>
        <v>1090</v>
      </c>
      <c r="D64" s="3">
        <f>IF(A64="","",IFERROR(LOOKUP(2,1/(([1]العمليات!$B$2:$B$1000=A64)*([1]العمليات!$H$2:$H$1000&lt;&gt;"")),[1]العمليات!$H$2:$H$1000),""))</f>
        <v>2</v>
      </c>
      <c r="E64" s="3">
        <f>IF(A64="","",IFERROR(LOOKUP(2,1/(([1]العمليات!$B$2:$B$1000=A64)*([1]العمليات!$I$2:$I$1000&lt;&gt;"")),[1]العمليات!$I$2:$I$1000),""))</f>
        <v>6</v>
      </c>
    </row>
    <row r="65" spans="1:5" x14ac:dyDescent="0.35">
      <c r="A65" s="5" t="s">
        <v>446</v>
      </c>
      <c r="B65" s="5" t="s">
        <v>447</v>
      </c>
      <c r="C65" s="6">
        <f>SUMIFS([1]العمليات!G:G, [1]العمليات!B:B, A65, [1]العمليات!C:C, "إدخال") - SUMIFS([1]العمليات!G:G, [1]العمليات!B:B, A65, [1]العمليات!C:C, "إخراج")</f>
        <v>230</v>
      </c>
      <c r="D65" s="5" t="str">
        <f>IF(A65="","",IFERROR(LOOKUP(2,1/(([1]العمليات!$B$2:$B$1000=A65)*([1]العمليات!$H$2:$H$1000&lt;&gt;"")),[1]العمليات!$H$2:$H$1000),""))</f>
        <v/>
      </c>
      <c r="E65" s="5" t="str">
        <f>IF(A65="","",IFERROR(LOOKUP(2,1/(([1]العمليات!$B$2:$B$1000=A65)*([1]العمليات!$I$2:$I$1000&lt;&gt;"")),[1]العمليات!$I$2:$I$1000),""))</f>
        <v/>
      </c>
    </row>
    <row r="66" spans="1:5" x14ac:dyDescent="0.35">
      <c r="A66" s="3" t="s">
        <v>63</v>
      </c>
      <c r="B66" s="3" t="s">
        <v>64</v>
      </c>
      <c r="C66" s="4">
        <f>SUMIFS([1]العمليات!G:G, [1]العمليات!B:B, A66, [1]العمليات!C:C, "إدخال") - SUMIFS([1]العمليات!G:G, [1]العمليات!B:B, A66, [1]العمليات!C:C, "إخراج")</f>
        <v>90</v>
      </c>
      <c r="D66" s="3">
        <f>IF(A66="","",IFERROR(LOOKUP(2,1/(([1]العمليات!$B$2:$B$1000=A66)*([1]العمليات!$H$2:$H$1000&lt;&gt;"")),[1]العمليات!$H$2:$H$1000),""))</f>
        <v>3</v>
      </c>
      <c r="E66" s="3" t="str">
        <f>IF(A66="","",IFERROR(LOOKUP(2,1/(([1]العمليات!$B$2:$B$1000=A66)*([1]العمليات!$I$2:$I$1000&lt;&gt;"")),[1]العمليات!$I$2:$I$1000),""))</f>
        <v>1ط2</v>
      </c>
    </row>
    <row r="67" spans="1:5" x14ac:dyDescent="0.35">
      <c r="A67" s="5" t="s">
        <v>65</v>
      </c>
      <c r="B67" s="5" t="s">
        <v>66</v>
      </c>
      <c r="C67" s="6">
        <f>SUMIFS([1]العمليات!G:G, [1]العمليات!B:B, A67, [1]العمليات!C:C, "إدخال") - SUMIFS([1]العمليات!G:G, [1]العمليات!B:B, A67, [1]العمليات!C:C, "إخراج")</f>
        <v>698</v>
      </c>
      <c r="D67" s="5">
        <f>IF(A67="","",IFERROR(LOOKUP(2,1/(([1]العمليات!$B$2:$B$1000=A67)*([1]العمليات!$H$2:$H$1000&lt;&gt;"")),[1]العمليات!$H$2:$H$1000),""))</f>
        <v>5</v>
      </c>
      <c r="E67" s="5">
        <f>IF(A67="","",IFERROR(LOOKUP(2,1/(([1]العمليات!$B$2:$B$1000=A67)*([1]العمليات!$I$2:$I$1000&lt;&gt;"")),[1]العمليات!$I$2:$I$1000),""))</f>
        <v>6</v>
      </c>
    </row>
    <row r="68" spans="1:5" x14ac:dyDescent="0.35">
      <c r="A68" s="3" t="s">
        <v>448</v>
      </c>
      <c r="B68" s="3" t="s">
        <v>449</v>
      </c>
      <c r="C68" s="4">
        <f>SUMIFS([1]العمليات!G:G, [1]العمليات!B:B, A68, [1]العمليات!C:C, "إدخال") - SUMIFS([1]العمليات!G:G, [1]العمليات!B:B, A68, [1]العمليات!C:C, "إخراج")</f>
        <v>695</v>
      </c>
      <c r="D68" s="3" t="str">
        <f>IF(A68="","",IFERROR(LOOKUP(2,1/(([1]العمليات!$B$2:$B$1000=A68)*([1]العمليات!$H$2:$H$1000&lt;&gt;"")),[1]العمليات!$H$2:$H$1000),""))</f>
        <v/>
      </c>
      <c r="E68" s="3" t="str">
        <f>IF(A68="","",IFERROR(LOOKUP(2,1/(([1]العمليات!$B$2:$B$1000=A68)*([1]العمليات!$I$2:$I$1000&lt;&gt;"")),[1]العمليات!$I$2:$I$1000),""))</f>
        <v/>
      </c>
    </row>
    <row r="69" spans="1:5" x14ac:dyDescent="0.35">
      <c r="A69" s="5" t="s">
        <v>450</v>
      </c>
      <c r="B69" s="5" t="s">
        <v>451</v>
      </c>
      <c r="C69" s="6">
        <f>SUMIFS([1]العمليات!G:G, [1]العمليات!B:B, A69, [1]العمليات!C:C, "إدخال") - SUMIFS([1]العمليات!G:G, [1]العمليات!B:B, A69, [1]العمليات!C:C, "إخراج")</f>
        <v>336</v>
      </c>
      <c r="D69" s="5" t="str">
        <f>IF(A69="","",IFERROR(LOOKUP(2,1/(([1]العمليات!$B$2:$B$1000=A69)*([1]العمليات!$H$2:$H$1000&lt;&gt;"")),[1]العمليات!$H$2:$H$1000),""))</f>
        <v/>
      </c>
      <c r="E69" s="5" t="str">
        <f>IF(A69="","",IFERROR(LOOKUP(2,1/(([1]العمليات!$B$2:$B$1000=A69)*([1]العمليات!$I$2:$I$1000&lt;&gt;"")),[1]العمليات!$I$2:$I$1000),""))</f>
        <v/>
      </c>
    </row>
    <row r="70" spans="1:5" x14ac:dyDescent="0.35">
      <c r="A70" s="3" t="s">
        <v>452</v>
      </c>
      <c r="B70" s="3" t="s">
        <v>453</v>
      </c>
      <c r="C70" s="4">
        <f>SUMIFS([1]العمليات!G:G, [1]العمليات!B:B, A70, [1]العمليات!C:C, "إدخال") - SUMIFS([1]العمليات!G:G, [1]العمليات!B:B, A70, [1]العمليات!C:C, "إخراج")</f>
        <v>222</v>
      </c>
      <c r="D70" s="3" t="str">
        <f>IF(A70="","",IFERROR(LOOKUP(2,1/(([1]العمليات!$B$2:$B$1000=A70)*([1]العمليات!$H$2:$H$1000&lt;&gt;"")),[1]العمليات!$H$2:$H$1000),""))</f>
        <v/>
      </c>
      <c r="E70" s="3" t="str">
        <f>IF(A70="","",IFERROR(LOOKUP(2,1/(([1]العمليات!$B$2:$B$1000=A70)*([1]العمليات!$I$2:$I$1000&lt;&gt;"")),[1]العمليات!$I$2:$I$1000),""))</f>
        <v/>
      </c>
    </row>
    <row r="71" spans="1:5" x14ac:dyDescent="0.35">
      <c r="A71" s="5" t="s">
        <v>454</v>
      </c>
      <c r="B71" s="5" t="s">
        <v>455</v>
      </c>
      <c r="C71" s="6">
        <f>SUMIFS([1]العمليات!G:G, [1]العمليات!B:B, A71, [1]العمليات!C:C, "إدخال") - SUMIFS([1]العمليات!G:G, [1]العمليات!B:B, A71, [1]العمليات!C:C, "إخراج")</f>
        <v>1112</v>
      </c>
      <c r="D71" s="5">
        <f>IF(A71="","",IFERROR(LOOKUP(2,1/(([1]العمليات!$B$2:$B$1000=A71)*([1]العمليات!$H$2:$H$1000&lt;&gt;"")),[1]العمليات!$H$2:$H$1000),""))</f>
        <v>2</v>
      </c>
      <c r="E71" s="5" t="str">
        <f>IF(A71="","",IFERROR(LOOKUP(2,1/(([1]العمليات!$B$2:$B$1000=A71)*([1]العمليات!$I$2:$I$1000&lt;&gt;"")),[1]العمليات!$I$2:$I$1000),""))</f>
        <v>3ط2</v>
      </c>
    </row>
    <row r="72" spans="1:5" x14ac:dyDescent="0.35">
      <c r="A72" s="3" t="s">
        <v>67</v>
      </c>
      <c r="B72" s="3" t="s">
        <v>68</v>
      </c>
      <c r="C72" s="4">
        <f>SUMIFS([1]العمليات!G:G, [1]العمليات!B:B, A72, [1]العمليات!C:C, "إدخال") - SUMIFS([1]العمليات!G:G, [1]العمليات!B:B, A72, [1]العمليات!C:C, "إخراج")</f>
        <v>618</v>
      </c>
      <c r="D72" s="3">
        <f>IF(A72="","",IFERROR(LOOKUP(2,1/(([1]العمليات!$B$2:$B$1000=A72)*([1]العمليات!$H$2:$H$1000&lt;&gt;"")),[1]العمليات!$H$2:$H$1000),""))</f>
        <v>2</v>
      </c>
      <c r="E72" s="3">
        <f>IF(A72="","",IFERROR(LOOKUP(2,1/(([1]العمليات!$B$2:$B$1000=A72)*([1]العمليات!$I$2:$I$1000&lt;&gt;"")),[1]العمليات!$I$2:$I$1000),""))</f>
        <v>4</v>
      </c>
    </row>
    <row r="73" spans="1:5" x14ac:dyDescent="0.35">
      <c r="A73" s="5" t="s">
        <v>456</v>
      </c>
      <c r="B73" s="5" t="s">
        <v>457</v>
      </c>
      <c r="C73" s="6">
        <f>SUMIFS([1]العمليات!G:G, [1]العمليات!B:B, A73, [1]العمليات!C:C, "إدخال") - SUMIFS([1]العمليات!G:G, [1]العمليات!B:B, A73, [1]العمليات!C:C, "إخراج")</f>
        <v>1147</v>
      </c>
      <c r="D73" s="5" t="str">
        <f>IF(A73="","",IFERROR(LOOKUP(2,1/(([1]العمليات!$B$2:$B$1000=A73)*([1]العمليات!$H$2:$H$1000&lt;&gt;"")),[1]العمليات!$H$2:$H$1000),""))</f>
        <v/>
      </c>
      <c r="E73" s="5" t="str">
        <f>IF(A73="","",IFERROR(LOOKUP(2,1/(([1]العمليات!$B$2:$B$1000=A73)*([1]العمليات!$I$2:$I$1000&lt;&gt;"")),[1]العمليات!$I$2:$I$1000),""))</f>
        <v/>
      </c>
    </row>
    <row r="74" spans="1:5" x14ac:dyDescent="0.35">
      <c r="A74" s="3" t="s">
        <v>458</v>
      </c>
      <c r="B74" s="3" t="s">
        <v>459</v>
      </c>
      <c r="C74" s="4">
        <f>SUMIFS([1]العمليات!G:G, [1]العمليات!B:B, A74, [1]العمليات!C:C, "إدخال") - SUMIFS([1]العمليات!G:G, [1]العمليات!B:B, A74, [1]العمليات!C:C, "إخراج")</f>
        <v>0</v>
      </c>
      <c r="D74" s="3" t="str">
        <f>IF(A74="","",IFERROR(LOOKUP(2,1/(([1]العمليات!$B$2:$B$1000=A74)*([1]العمليات!$H$2:$H$1000&lt;&gt;"")),[1]العمليات!$H$2:$H$1000),""))</f>
        <v/>
      </c>
      <c r="E74" s="3" t="str">
        <f>IF(A74="","",IFERROR(LOOKUP(2,1/(([1]العمليات!$B$2:$B$1000=A74)*([1]العمليات!$I$2:$I$1000&lt;&gt;"")),[1]العمليات!$I$2:$I$1000),""))</f>
        <v/>
      </c>
    </row>
    <row r="75" spans="1:5" x14ac:dyDescent="0.35">
      <c r="A75" s="5" t="s">
        <v>69</v>
      </c>
      <c r="B75" s="5" t="s">
        <v>70</v>
      </c>
      <c r="C75" s="6">
        <f>SUMIFS([1]العمليات!G:G, [1]العمليات!B:B, A75, [1]العمليات!C:C, "إدخال") - SUMIFS([1]العمليات!G:G, [1]العمليات!B:B, A75, [1]العمليات!C:C, "إخراج")</f>
        <v>664</v>
      </c>
      <c r="D75" s="5">
        <f>IF(A75="","",IFERROR(LOOKUP(2,1/(([1]العمليات!$B$2:$B$1000=A75)*([1]العمليات!$H$2:$H$1000&lt;&gt;"")),[1]العمليات!$H$2:$H$1000),""))</f>
        <v>5</v>
      </c>
      <c r="E75" s="5">
        <f>IF(A75="","",IFERROR(LOOKUP(2,1/(([1]العمليات!$B$2:$B$1000=A75)*([1]العمليات!$I$2:$I$1000&lt;&gt;"")),[1]العمليات!$I$2:$I$1000),""))</f>
        <v>1</v>
      </c>
    </row>
    <row r="76" spans="1:5" x14ac:dyDescent="0.35">
      <c r="A76" s="3" t="s">
        <v>460</v>
      </c>
      <c r="B76" s="3" t="s">
        <v>461</v>
      </c>
      <c r="C76" s="4">
        <f>SUMIFS([1]العمليات!G:G, [1]العمليات!B:B, A76, [1]العمليات!C:C, "إدخال") - SUMIFS([1]العمليات!G:G, [1]العمليات!B:B, A76, [1]العمليات!C:C, "إخراج")</f>
        <v>0</v>
      </c>
      <c r="D76" s="3" t="str">
        <f>IF(A76="","",IFERROR(LOOKUP(2,1/(([1]العمليات!$B$2:$B$1000=A76)*([1]العمليات!$H$2:$H$1000&lt;&gt;"")),[1]العمليات!$H$2:$H$1000),""))</f>
        <v/>
      </c>
      <c r="E76" s="3" t="str">
        <f>IF(A76="","",IFERROR(LOOKUP(2,1/(([1]العمليات!$B$2:$B$1000=A76)*([1]العمليات!$I$2:$I$1000&lt;&gt;"")),[1]العمليات!$I$2:$I$1000),""))</f>
        <v/>
      </c>
    </row>
    <row r="77" spans="1:5" x14ac:dyDescent="0.35">
      <c r="A77" s="5" t="s">
        <v>462</v>
      </c>
      <c r="B77" s="5" t="s">
        <v>463</v>
      </c>
      <c r="C77" s="6">
        <f>SUMIFS([1]العمليات!G:G, [1]العمليات!B:B, A77, [1]العمليات!C:C, "إدخال") - SUMIFS([1]العمليات!G:G, [1]العمليات!B:B, A77, [1]العمليات!C:C, "إخراج")</f>
        <v>0</v>
      </c>
      <c r="D77" s="5" t="str">
        <f>IF(A77="","",IFERROR(LOOKUP(2,1/(([1]العمليات!$B$2:$B$1000=A77)*([1]العمليات!$H$2:$H$1000&lt;&gt;"")),[1]العمليات!$H$2:$H$1000),""))</f>
        <v/>
      </c>
      <c r="E77" s="5" t="str">
        <f>IF(A77="","",IFERROR(LOOKUP(2,1/(([1]العمليات!$B$2:$B$1000=A77)*([1]العمليات!$I$2:$I$1000&lt;&gt;"")),[1]العمليات!$I$2:$I$1000),""))</f>
        <v/>
      </c>
    </row>
    <row r="78" spans="1:5" x14ac:dyDescent="0.35">
      <c r="A78" s="3" t="s">
        <v>464</v>
      </c>
      <c r="B78" s="3" t="s">
        <v>465</v>
      </c>
      <c r="C78" s="4">
        <f>SUMIFS([1]العمليات!G:G, [1]العمليات!B:B, A78, [1]العمليات!C:C, "إدخال") - SUMIFS([1]العمليات!G:G, [1]العمليات!B:B, A78, [1]العمليات!C:C, "إخراج")</f>
        <v>416</v>
      </c>
      <c r="D78" s="3" t="str">
        <f>IF(A78="","",IFERROR(LOOKUP(2,1/(([1]العمليات!$B$2:$B$1000=A78)*([1]العمليات!$H$2:$H$1000&lt;&gt;"")),[1]العمليات!$H$2:$H$1000),""))</f>
        <v/>
      </c>
      <c r="E78" s="3" t="str">
        <f>IF(A78="","",IFERROR(LOOKUP(2,1/(([1]العمليات!$B$2:$B$1000=A78)*([1]العمليات!$I$2:$I$1000&lt;&gt;"")),[1]العمليات!$I$2:$I$1000),""))</f>
        <v/>
      </c>
    </row>
    <row r="79" spans="1:5" x14ac:dyDescent="0.35">
      <c r="A79" s="5" t="s">
        <v>71</v>
      </c>
      <c r="B79" s="5" t="s">
        <v>72</v>
      </c>
      <c r="C79" s="6">
        <f>SUMIFS([1]العمليات!G:G, [1]العمليات!B:B, A79, [1]العمليات!C:C, "إدخال") - SUMIFS([1]العمليات!G:G, [1]العمليات!B:B, A79, [1]العمليات!C:C, "إخراج")</f>
        <v>526</v>
      </c>
      <c r="D79" s="5">
        <f>IF(A79="","",IFERROR(LOOKUP(2,1/(([1]العمليات!$B$2:$B$1000=A79)*([1]العمليات!$H$2:$H$1000&lt;&gt;"")),[1]العمليات!$H$2:$H$1000),""))</f>
        <v>2</v>
      </c>
      <c r="E79" s="5">
        <f>IF(A79="","",IFERROR(LOOKUP(2,1/(([1]العمليات!$B$2:$B$1000=A79)*([1]العمليات!$I$2:$I$1000&lt;&gt;"")),[1]العمليات!$I$2:$I$1000),""))</f>
        <v>4</v>
      </c>
    </row>
    <row r="80" spans="1:5" x14ac:dyDescent="0.35">
      <c r="A80" s="3" t="s">
        <v>73</v>
      </c>
      <c r="B80" s="3" t="s">
        <v>74</v>
      </c>
      <c r="C80" s="4">
        <f>SUMIFS([1]العمليات!G:G, [1]العمليات!B:B, A80, [1]العمليات!C:C, "إدخال") - SUMIFS([1]العمليات!G:G, [1]العمليات!B:B, A80, [1]العمليات!C:C, "إخراج")</f>
        <v>3705</v>
      </c>
      <c r="D80" s="3">
        <f>IF(A80="","",IFERROR(LOOKUP(2,1/(([1]العمليات!$B$2:$B$1000=A80)*([1]العمليات!$H$2:$H$1000&lt;&gt;"")),[1]العمليات!$H$2:$H$1000),""))</f>
        <v>4</v>
      </c>
      <c r="E80" s="3">
        <f>IF(A80="","",IFERROR(LOOKUP(2,1/(([1]العمليات!$B$2:$B$1000=A80)*([1]العمليات!$I$2:$I$1000&lt;&gt;"")),[1]العمليات!$I$2:$I$1000),""))</f>
        <v>1</v>
      </c>
    </row>
    <row r="81" spans="1:5" x14ac:dyDescent="0.35">
      <c r="A81" s="5" t="s">
        <v>466</v>
      </c>
      <c r="B81" s="5" t="s">
        <v>467</v>
      </c>
      <c r="C81" s="6">
        <f>SUMIFS([1]العمليات!G:G, [1]العمليات!B:B, A81, [1]العمليات!C:C, "إدخال") - SUMIFS([1]العمليات!G:G, [1]العمليات!B:B, A81, [1]العمليات!C:C, "إخراج")</f>
        <v>255</v>
      </c>
      <c r="D81" s="5" t="str">
        <f>IF(A81="","",IFERROR(LOOKUP(2,1/(([1]العمليات!$B$2:$B$1000=A81)*([1]العمليات!$H$2:$H$1000&lt;&gt;"")),[1]العمليات!$H$2:$H$1000),""))</f>
        <v/>
      </c>
      <c r="E81" s="5" t="str">
        <f>IF(A81="","",IFERROR(LOOKUP(2,1/(([1]العمليات!$B$2:$B$1000=A81)*([1]العمليات!$I$2:$I$1000&lt;&gt;"")),[1]العمليات!$I$2:$I$1000),""))</f>
        <v/>
      </c>
    </row>
    <row r="82" spans="1:5" x14ac:dyDescent="0.35">
      <c r="A82" s="3" t="s">
        <v>468</v>
      </c>
      <c r="B82" s="3" t="s">
        <v>469</v>
      </c>
      <c r="C82" s="4">
        <f>SUMIFS([1]العمليات!G:G, [1]العمليات!B:B, A82, [1]العمليات!C:C, "إدخال") - SUMIFS([1]العمليات!G:G, [1]العمليات!B:B, A82, [1]العمليات!C:C, "إخراج")</f>
        <v>608</v>
      </c>
      <c r="D82" s="3" t="str">
        <f>IF(A82="","",IFERROR(LOOKUP(2,1/(([1]العمليات!$B$2:$B$1000=A82)*([1]العمليات!$H$2:$H$1000&lt;&gt;"")),[1]العمليات!$H$2:$H$1000),""))</f>
        <v/>
      </c>
      <c r="E82" s="3" t="str">
        <f>IF(A82="","",IFERROR(LOOKUP(2,1/(([1]العمليات!$B$2:$B$1000=A82)*([1]العمليات!$I$2:$I$1000&lt;&gt;"")),[1]العمليات!$I$2:$I$1000),""))</f>
        <v/>
      </c>
    </row>
    <row r="83" spans="1:5" x14ac:dyDescent="0.35">
      <c r="A83" s="5" t="s">
        <v>470</v>
      </c>
      <c r="B83" s="5" t="s">
        <v>471</v>
      </c>
      <c r="C83" s="6">
        <f>SUMIFS([1]العمليات!G:G, [1]العمليات!B:B, A83, [1]العمليات!C:C, "إدخال") - SUMIFS([1]العمليات!G:G, [1]العمليات!B:B, A83, [1]العمليات!C:C, "إخراج")</f>
        <v>0</v>
      </c>
      <c r="D83" s="5" t="str">
        <f>IF(A83="","",IFERROR(LOOKUP(2,1/(([1]العمليات!$B$2:$B$1000=A83)*([1]العمليات!$H$2:$H$1000&lt;&gt;"")),[1]العمليات!$H$2:$H$1000),""))</f>
        <v/>
      </c>
      <c r="E83" s="5" t="str">
        <f>IF(A83="","",IFERROR(LOOKUP(2,1/(([1]العمليات!$B$2:$B$1000=A83)*([1]العمليات!$I$2:$I$1000&lt;&gt;"")),[1]العمليات!$I$2:$I$1000),""))</f>
        <v/>
      </c>
    </row>
    <row r="84" spans="1:5" x14ac:dyDescent="0.35">
      <c r="A84" s="3" t="s">
        <v>75</v>
      </c>
      <c r="B84" s="3" t="s">
        <v>76</v>
      </c>
      <c r="C84" s="4">
        <f>SUMIFS([1]العمليات!G:G, [1]العمليات!B:B, A84, [1]العمليات!C:C, "إدخال") - SUMIFS([1]العمليات!G:G, [1]العمليات!B:B, A84, [1]العمليات!C:C, "إخراج")</f>
        <v>1421</v>
      </c>
      <c r="D84" s="3">
        <f>IF(A84="","",IFERROR(LOOKUP(2,1/(([1]العمليات!$B$2:$B$1000=A84)*([1]العمليات!$H$2:$H$1000&lt;&gt;"")),[1]العمليات!$H$2:$H$1000),""))</f>
        <v>3</v>
      </c>
      <c r="E84" s="3">
        <f>IF(A84="","",IFERROR(LOOKUP(2,1/(([1]العمليات!$B$2:$B$1000=A84)*([1]العمليات!$I$2:$I$1000&lt;&gt;"")),[1]العمليات!$I$2:$I$1000),""))</f>
        <v>2</v>
      </c>
    </row>
    <row r="85" spans="1:5" x14ac:dyDescent="0.35">
      <c r="A85" s="5" t="s">
        <v>77</v>
      </c>
      <c r="B85" s="5" t="s">
        <v>78</v>
      </c>
      <c r="C85" s="6">
        <f>SUMIFS([1]العمليات!G:G, [1]العمليات!B:B, A85, [1]العمليات!C:C, "إدخال") - SUMIFS([1]العمليات!G:G, [1]العمليات!B:B, A85, [1]العمليات!C:C, "إخراج")</f>
        <v>2402</v>
      </c>
      <c r="D85" s="5">
        <f>IF(A85="","",IFERROR(LOOKUP(2,1/(([1]العمليات!$B$2:$B$1000=A85)*([1]العمليات!$H$2:$H$1000&lt;&gt;"")),[1]العمليات!$H$2:$H$1000),""))</f>
        <v>1</v>
      </c>
      <c r="E85" s="5">
        <f>IF(A85="","",IFERROR(LOOKUP(2,1/(([1]العمليات!$B$2:$B$1000=A85)*([1]العمليات!$I$2:$I$1000&lt;&gt;"")),[1]العمليات!$I$2:$I$1000),""))</f>
        <v>1</v>
      </c>
    </row>
    <row r="86" spans="1:5" x14ac:dyDescent="0.35">
      <c r="A86" s="3" t="s">
        <v>79</v>
      </c>
      <c r="B86" s="3" t="s">
        <v>80</v>
      </c>
      <c r="C86" s="4">
        <f>SUMIFS([1]العمليات!G:G, [1]العمليات!B:B, A86, [1]العمليات!C:C, "إدخال") - SUMIFS([1]العمليات!G:G, [1]العمليات!B:B, A86, [1]العمليات!C:C, "إخراج")</f>
        <v>2290</v>
      </c>
      <c r="D86" s="3">
        <f>IF(A86="","",IFERROR(LOOKUP(2,1/(([1]العمليات!$B$2:$B$1000=A86)*([1]العمليات!$H$2:$H$1000&lt;&gt;"")),[1]العمليات!$H$2:$H$1000),""))</f>
        <v>3</v>
      </c>
      <c r="E86" s="3">
        <f>IF(A86="","",IFERROR(LOOKUP(2,1/(([1]العمليات!$B$2:$B$1000=A86)*([1]العمليات!$I$2:$I$1000&lt;&gt;"")),[1]العمليات!$I$2:$I$1000),""))</f>
        <v>3</v>
      </c>
    </row>
    <row r="87" spans="1:5" x14ac:dyDescent="0.35">
      <c r="A87" s="5" t="s">
        <v>81</v>
      </c>
      <c r="B87" s="5" t="s">
        <v>82</v>
      </c>
      <c r="C87" s="6">
        <f>SUMIFS([1]العمليات!G:G, [1]العمليات!B:B, A87, [1]العمليات!C:C, "إدخال") - SUMIFS([1]العمليات!G:G, [1]العمليات!B:B, A87, [1]العمليات!C:C, "إخراج")</f>
        <v>612</v>
      </c>
      <c r="D87" s="5">
        <f>IF(A87="","",IFERROR(LOOKUP(2,1/(([1]العمليات!$B$2:$B$1000=A87)*([1]العمليات!$H$2:$H$1000&lt;&gt;"")),[1]العمليات!$H$2:$H$1000),""))</f>
        <v>3</v>
      </c>
      <c r="E87" s="5" t="str">
        <f>IF(A87="","",IFERROR(LOOKUP(2,1/(([1]العمليات!$B$2:$B$1000=A87)*([1]العمليات!$I$2:$I$1000&lt;&gt;"")),[1]العمليات!$I$2:$I$1000),""))</f>
        <v>1ط2</v>
      </c>
    </row>
    <row r="88" spans="1:5" x14ac:dyDescent="0.35">
      <c r="A88" s="3" t="s">
        <v>472</v>
      </c>
      <c r="B88" s="3" t="s">
        <v>473</v>
      </c>
      <c r="C88" s="4">
        <f>SUMIFS([1]العمليات!G:G, [1]العمليات!B:B, A88, [1]العمليات!C:C, "إدخال") - SUMIFS([1]العمليات!G:G, [1]العمليات!B:B, A88, [1]العمليات!C:C, "إخراج")</f>
        <v>435</v>
      </c>
      <c r="D88" s="3">
        <f>IF(A88="","",IFERROR(LOOKUP(2,1/(([1]العمليات!$B$2:$B$1000=A88)*([1]العمليات!$H$2:$H$1000&lt;&gt;"")),[1]العمليات!$H$2:$H$1000),""))</f>
        <v>2</v>
      </c>
      <c r="E88" s="3">
        <f>IF(A88="","",IFERROR(LOOKUP(2,1/(([1]العمليات!$B$2:$B$1000=A88)*([1]العمليات!$I$2:$I$1000&lt;&gt;"")),[1]العمليات!$I$2:$I$1000),""))</f>
        <v>2</v>
      </c>
    </row>
    <row r="89" spans="1:5" x14ac:dyDescent="0.35">
      <c r="A89" s="5" t="s">
        <v>474</v>
      </c>
      <c r="B89" s="5" t="s">
        <v>475</v>
      </c>
      <c r="C89" s="6">
        <f>SUMIFS([1]العمليات!G:G, [1]العمليات!B:B, A89, [1]العمليات!C:C, "إدخال") - SUMIFS([1]العمليات!G:G, [1]العمليات!B:B, A89, [1]العمليات!C:C, "إخراج")</f>
        <v>1641</v>
      </c>
      <c r="D89" s="5" t="str">
        <f>IF(A89="","",IFERROR(LOOKUP(2,1/(([1]العمليات!$B$2:$B$1000=A89)*([1]العمليات!$H$2:$H$1000&lt;&gt;"")),[1]العمليات!$H$2:$H$1000),""))</f>
        <v/>
      </c>
      <c r="E89" s="5" t="str">
        <f>IF(A89="","",IFERROR(LOOKUP(2,1/(([1]العمليات!$B$2:$B$1000=A89)*([1]العمليات!$I$2:$I$1000&lt;&gt;"")),[1]العمليات!$I$2:$I$1000),""))</f>
        <v/>
      </c>
    </row>
    <row r="90" spans="1:5" x14ac:dyDescent="0.35">
      <c r="A90" s="3" t="s">
        <v>476</v>
      </c>
      <c r="B90" s="3" t="s">
        <v>477</v>
      </c>
      <c r="C90" s="4">
        <f>SUMIFS([1]العمليات!G:G, [1]العمليات!B:B, A90, [1]العمليات!C:C, "إدخال") - SUMIFS([1]العمليات!G:G, [1]العمليات!B:B, A90, [1]العمليات!C:C, "إخراج")</f>
        <v>401</v>
      </c>
      <c r="D90" s="3" t="str">
        <f>IF(A90="","",IFERROR(LOOKUP(2,1/(([1]العمليات!$B$2:$B$1000=A90)*([1]العمليات!$H$2:$H$1000&lt;&gt;"")),[1]العمليات!$H$2:$H$1000),""))</f>
        <v/>
      </c>
      <c r="E90" s="3" t="str">
        <f>IF(A90="","",IFERROR(LOOKUP(2,1/(([1]العمليات!$B$2:$B$1000=A90)*([1]العمليات!$I$2:$I$1000&lt;&gt;"")),[1]العمليات!$I$2:$I$1000),""))</f>
        <v/>
      </c>
    </row>
    <row r="91" spans="1:5" x14ac:dyDescent="0.35">
      <c r="A91" s="5" t="s">
        <v>478</v>
      </c>
      <c r="B91" s="5" t="s">
        <v>479</v>
      </c>
      <c r="C91" s="6">
        <f>SUMIFS([1]العمليات!G:G, [1]العمليات!B:B, A91, [1]العمليات!C:C, "إدخال") - SUMIFS([1]العمليات!G:G, [1]العمليات!B:B, A91, [1]العمليات!C:C, "إخراج")</f>
        <v>34</v>
      </c>
      <c r="D91" s="5" t="str">
        <f>IF(A91="","",IFERROR(LOOKUP(2,1/(([1]العمليات!$B$2:$B$1000=A91)*([1]العمليات!$H$2:$H$1000&lt;&gt;"")),[1]العمليات!$H$2:$H$1000),""))</f>
        <v/>
      </c>
      <c r="E91" s="5" t="str">
        <f>IF(A91="","",IFERROR(LOOKUP(2,1/(([1]العمليات!$B$2:$B$1000=A91)*([1]العمليات!$I$2:$I$1000&lt;&gt;"")),[1]العمليات!$I$2:$I$1000),""))</f>
        <v/>
      </c>
    </row>
    <row r="92" spans="1:5" x14ac:dyDescent="0.35">
      <c r="A92" s="3" t="s">
        <v>83</v>
      </c>
      <c r="B92" s="3" t="s">
        <v>84</v>
      </c>
      <c r="C92" s="4">
        <f>SUMIFS([1]العمليات!G:G, [1]العمليات!B:B, A92, [1]العمليات!C:C, "إدخال") - SUMIFS([1]العمليات!G:G, [1]العمليات!B:B, A92, [1]العمليات!C:C, "إخراج")</f>
        <v>1437</v>
      </c>
      <c r="D92" s="3">
        <f>IF(A92="","",IFERROR(LOOKUP(2,1/(([1]العمليات!$B$2:$B$1000=A92)*([1]العمليات!$H$2:$H$1000&lt;&gt;"")),[1]العمليات!$H$2:$H$1000),""))</f>
        <v>4</v>
      </c>
      <c r="E92" s="3">
        <f>IF(A92="","",IFERROR(LOOKUP(2,1/(([1]العمليات!$B$2:$B$1000=A92)*([1]العمليات!$I$2:$I$1000&lt;&gt;"")),[1]العمليات!$I$2:$I$1000),""))</f>
        <v>5</v>
      </c>
    </row>
    <row r="93" spans="1:5" x14ac:dyDescent="0.35">
      <c r="A93" s="5" t="s">
        <v>480</v>
      </c>
      <c r="B93" s="5" t="s">
        <v>481</v>
      </c>
      <c r="C93" s="6">
        <f>SUMIFS([1]العمليات!G:G, [1]العمليات!B:B, A93, [1]العمليات!C:C, "إدخال") - SUMIFS([1]العمليات!G:G, [1]العمليات!B:B, A93, [1]العمليات!C:C, "إخراج")</f>
        <v>337</v>
      </c>
      <c r="D93" s="5" t="str">
        <f>IF(A93="","",IFERROR(LOOKUP(2,1/(([1]العمليات!$B$2:$B$1000=A93)*([1]العمليات!$H$2:$H$1000&lt;&gt;"")),[1]العمليات!$H$2:$H$1000),""))</f>
        <v/>
      </c>
      <c r="E93" s="5" t="str">
        <f>IF(A93="","",IFERROR(LOOKUP(2,1/(([1]العمليات!$B$2:$B$1000=A93)*([1]العمليات!$I$2:$I$1000&lt;&gt;"")),[1]العمليات!$I$2:$I$1000),""))</f>
        <v/>
      </c>
    </row>
    <row r="94" spans="1:5" x14ac:dyDescent="0.35">
      <c r="A94" s="3" t="s">
        <v>482</v>
      </c>
      <c r="B94" s="3" t="s">
        <v>483</v>
      </c>
      <c r="C94" s="4">
        <f>SUMIFS([1]العمليات!G:G, [1]العمليات!B:B, A94, [1]العمليات!C:C, "إدخال") - SUMIFS([1]العمليات!G:G, [1]العمليات!B:B, A94, [1]العمليات!C:C, "إخراج")</f>
        <v>307</v>
      </c>
      <c r="D94" s="3" t="str">
        <f>IF(A94="","",IFERROR(LOOKUP(2,1/(([1]العمليات!$B$2:$B$1000=A94)*([1]العمليات!$H$2:$H$1000&lt;&gt;"")),[1]العمليات!$H$2:$H$1000),""))</f>
        <v/>
      </c>
      <c r="E94" s="3" t="str">
        <f>IF(A94="","",IFERROR(LOOKUP(2,1/(([1]العمليات!$B$2:$B$1000=A94)*([1]العمليات!$I$2:$I$1000&lt;&gt;"")),[1]العمليات!$I$2:$I$1000),""))</f>
        <v/>
      </c>
    </row>
    <row r="95" spans="1:5" x14ac:dyDescent="0.35">
      <c r="A95" s="5" t="s">
        <v>484</v>
      </c>
      <c r="B95" s="5" t="s">
        <v>485</v>
      </c>
      <c r="C95" s="6">
        <f>SUMIFS([1]العمليات!G:G, [1]العمليات!B:B, A95, [1]العمليات!C:C, "إدخال") - SUMIFS([1]العمليات!G:G, [1]العمليات!B:B, A95, [1]العمليات!C:C, "إخراج")</f>
        <v>537</v>
      </c>
      <c r="D95" s="5" t="str">
        <f>IF(A95="","",IFERROR(LOOKUP(2,1/(([1]العمليات!$B$2:$B$1000=A95)*([1]العمليات!$H$2:$H$1000&lt;&gt;"")),[1]العمليات!$H$2:$H$1000),""))</f>
        <v/>
      </c>
      <c r="E95" s="5" t="str">
        <f>IF(A95="","",IFERROR(LOOKUP(2,1/(([1]العمليات!$B$2:$B$1000=A95)*([1]العمليات!$I$2:$I$1000&lt;&gt;"")),[1]العمليات!$I$2:$I$1000),""))</f>
        <v/>
      </c>
    </row>
    <row r="96" spans="1:5" x14ac:dyDescent="0.35">
      <c r="A96" s="3" t="s">
        <v>486</v>
      </c>
      <c r="B96" s="3" t="s">
        <v>487</v>
      </c>
      <c r="C96" s="4">
        <f>SUMIFS([1]العمليات!G:G, [1]العمليات!B:B, A96, [1]العمليات!C:C, "إدخال") - SUMIFS([1]العمليات!G:G, [1]العمليات!B:B, A96, [1]العمليات!C:C, "إخراج")</f>
        <v>412</v>
      </c>
      <c r="D96" s="3" t="str">
        <f>IF(A96="","",IFERROR(LOOKUP(2,1/(([1]العمليات!$B$2:$B$1000=A96)*([1]العمليات!$H$2:$H$1000&lt;&gt;"")),[1]العمليات!$H$2:$H$1000),""))</f>
        <v/>
      </c>
      <c r="E96" s="3" t="str">
        <f>IF(A96="","",IFERROR(LOOKUP(2,1/(([1]العمليات!$B$2:$B$1000=A96)*([1]العمليات!$I$2:$I$1000&lt;&gt;"")),[1]العمليات!$I$2:$I$1000),""))</f>
        <v/>
      </c>
    </row>
    <row r="97" spans="1:5" x14ac:dyDescent="0.35">
      <c r="A97" s="5" t="s">
        <v>488</v>
      </c>
      <c r="B97" s="5" t="s">
        <v>489</v>
      </c>
      <c r="C97" s="6">
        <f>SUMIFS([1]العمليات!G:G, [1]العمليات!B:B, A97, [1]العمليات!C:C, "إدخال") - SUMIFS([1]العمليات!G:G, [1]العمليات!B:B, A97, [1]العمليات!C:C, "إخراج")</f>
        <v>0</v>
      </c>
      <c r="D97" s="5" t="str">
        <f>IF(A97="","",IFERROR(LOOKUP(2,1/(([1]العمليات!$B$2:$B$1000=A97)*([1]العمليات!$H$2:$H$1000&lt;&gt;"")),[1]العمليات!$H$2:$H$1000),""))</f>
        <v/>
      </c>
      <c r="E97" s="5" t="str">
        <f>IF(A97="","",IFERROR(LOOKUP(2,1/(([1]العمليات!$B$2:$B$1000=A97)*([1]العمليات!$I$2:$I$1000&lt;&gt;"")),[1]العمليات!$I$2:$I$1000),""))</f>
        <v/>
      </c>
    </row>
    <row r="98" spans="1:5" x14ac:dyDescent="0.35">
      <c r="A98" s="3" t="s">
        <v>490</v>
      </c>
      <c r="B98" s="3" t="s">
        <v>491</v>
      </c>
      <c r="C98" s="4">
        <f>SUMIFS([1]العمليات!G:G, [1]العمليات!B:B, A98, [1]العمليات!C:C, "إدخال") - SUMIFS([1]العمليات!G:G, [1]العمليات!B:B, A98, [1]العمليات!C:C, "إخراج")</f>
        <v>1288</v>
      </c>
      <c r="D98" s="3">
        <f>IF(A98="","",IFERROR(LOOKUP(2,1/(([1]العمليات!$B$2:$B$1000=A98)*([1]العمليات!$H$2:$H$1000&lt;&gt;"")),[1]العمليات!$H$2:$H$1000),""))</f>
        <v>3</v>
      </c>
      <c r="E98" s="3">
        <f>IF(A98="","",IFERROR(LOOKUP(2,1/(([1]العمليات!$B$2:$B$1000=A98)*([1]العمليات!$I$2:$I$1000&lt;&gt;"")),[1]العمليات!$I$2:$I$1000),""))</f>
        <v>1</v>
      </c>
    </row>
    <row r="99" spans="1:5" x14ac:dyDescent="0.35">
      <c r="A99" s="5" t="s">
        <v>492</v>
      </c>
      <c r="B99" s="5" t="s">
        <v>493</v>
      </c>
      <c r="C99" s="6">
        <f>SUMIFS([1]العمليات!G:G, [1]العمليات!B:B, A99, [1]العمليات!C:C, "إدخال") - SUMIFS([1]العمليات!G:G, [1]العمليات!B:B, A99, [1]العمليات!C:C, "إخراج")</f>
        <v>452</v>
      </c>
      <c r="D99" s="5" t="str">
        <f>IF(A99="","",IFERROR(LOOKUP(2,1/(([1]العمليات!$B$2:$B$1000=A99)*([1]العمليات!$H$2:$H$1000&lt;&gt;"")),[1]العمليات!$H$2:$H$1000),""))</f>
        <v/>
      </c>
      <c r="E99" s="5" t="str">
        <f>IF(A99="","",IFERROR(LOOKUP(2,1/(([1]العمليات!$B$2:$B$1000=A99)*([1]العمليات!$I$2:$I$1000&lt;&gt;"")),[1]العمليات!$I$2:$I$1000),""))</f>
        <v/>
      </c>
    </row>
    <row r="100" spans="1:5" x14ac:dyDescent="0.35">
      <c r="A100" s="3" t="s">
        <v>85</v>
      </c>
      <c r="B100" s="3" t="s">
        <v>86</v>
      </c>
      <c r="C100" s="4">
        <f>SUMIFS([1]العمليات!G:G, [1]العمليات!B:B, A100, [1]العمليات!C:C, "إدخال") - SUMIFS([1]العمليات!G:G, [1]العمليات!B:B, A100, [1]العمليات!C:C, "إخراج")</f>
        <v>1096</v>
      </c>
      <c r="D100" s="3">
        <f>IF(A100="","",IFERROR(LOOKUP(2,1/(([1]العمليات!$B$2:$B$1000=A100)*([1]العمليات!$H$2:$H$1000&lt;&gt;"")),[1]العمليات!$H$2:$H$1000),""))</f>
        <v>4</v>
      </c>
      <c r="E100" s="3">
        <f>IF(A100="","",IFERROR(LOOKUP(2,1/(([1]العمليات!$B$2:$B$1000=A100)*([1]العمليات!$I$2:$I$1000&lt;&gt;"")),[1]العمليات!$I$2:$I$1000),""))</f>
        <v>4</v>
      </c>
    </row>
    <row r="101" spans="1:5" x14ac:dyDescent="0.35">
      <c r="A101" s="5" t="s">
        <v>776</v>
      </c>
      <c r="B101" s="5" t="s">
        <v>87</v>
      </c>
      <c r="C101" s="6">
        <f>SUMIFS([1]العمليات!G:G, [1]العمليات!B:B, A101, [1]العمليات!C:C, "إدخال") - SUMIFS([1]العمليات!G:G, [1]العمليات!B:B, A101, [1]العمليات!C:C, "إخراج")</f>
        <v>328</v>
      </c>
      <c r="D101" s="5" t="str">
        <f>IF(A101="","",IFERROR(LOOKUP(2,1/(([1]العمليات!$B$2:$B$1000=A101)*([1]العمليات!$H$2:$H$1000&lt;&gt;"")),[1]العمليات!$H$2:$H$1000),""))</f>
        <v/>
      </c>
      <c r="E101" s="5" t="str">
        <f>IF(A101="","",IFERROR(LOOKUP(2,1/(([1]العمليات!$B$2:$B$1000=A101)*([1]العمليات!$I$2:$I$1000&lt;&gt;"")),[1]العمليات!$I$2:$I$1000),""))</f>
        <v/>
      </c>
    </row>
    <row r="102" spans="1:5" x14ac:dyDescent="0.35">
      <c r="A102" s="3" t="s">
        <v>494</v>
      </c>
      <c r="B102" s="3" t="s">
        <v>495</v>
      </c>
      <c r="C102" s="4">
        <f>SUMIFS([1]العمليات!G:G, [1]العمليات!B:B, A102, [1]العمليات!C:C, "إدخال") - SUMIFS([1]العمليات!G:G, [1]العمليات!B:B, A102, [1]العمليات!C:C, "إخراج")</f>
        <v>2328</v>
      </c>
      <c r="D102" s="3" t="str">
        <f>IF(A102="","",IFERROR(LOOKUP(2,1/(([1]العمليات!$B$2:$B$1000=A102)*([1]العمليات!$H$2:$H$1000&lt;&gt;"")),[1]العمليات!$H$2:$H$1000),""))</f>
        <v/>
      </c>
      <c r="E102" s="3" t="str">
        <f>IF(A102="","",IFERROR(LOOKUP(2,1/(([1]العمليات!$B$2:$B$1000=A102)*([1]العمليات!$I$2:$I$1000&lt;&gt;"")),[1]العمليات!$I$2:$I$1000),""))</f>
        <v/>
      </c>
    </row>
    <row r="103" spans="1:5" x14ac:dyDescent="0.35">
      <c r="A103" s="5" t="s">
        <v>496</v>
      </c>
      <c r="B103" s="5" t="s">
        <v>497</v>
      </c>
      <c r="C103" s="6">
        <f>SUMIFS([1]العمليات!G:G, [1]العمليات!B:B, A103, [1]العمليات!C:C, "إدخال") - SUMIFS([1]العمليات!G:G, [1]العمليات!B:B, A103, [1]العمليات!C:C, "إخراج")</f>
        <v>720</v>
      </c>
      <c r="D103" s="5" t="str">
        <f>IF(A103="","",IFERROR(LOOKUP(2,1/(([1]العمليات!$B$2:$B$1000=A103)*([1]العمليات!$H$2:$H$1000&lt;&gt;"")),[1]العمليات!$H$2:$H$1000),""))</f>
        <v/>
      </c>
      <c r="E103" s="5" t="str">
        <f>IF(A103="","",IFERROR(LOOKUP(2,1/(([1]العمليات!$B$2:$B$1000=A103)*([1]العمليات!$I$2:$I$1000&lt;&gt;"")),[1]العمليات!$I$2:$I$1000),""))</f>
        <v/>
      </c>
    </row>
    <row r="104" spans="1:5" x14ac:dyDescent="0.35">
      <c r="A104" s="3" t="s">
        <v>88</v>
      </c>
      <c r="B104" s="3" t="s">
        <v>89</v>
      </c>
      <c r="C104" s="4">
        <f>SUMIFS([1]العمليات!G:G, [1]العمليات!B:B, A104, [1]العمليات!C:C, "إدخال") - SUMIFS([1]العمليات!G:G, [1]العمليات!B:B, A104, [1]العمليات!C:C, "إخراج")</f>
        <v>873</v>
      </c>
      <c r="D104" s="3">
        <f>IF(A104="","",IFERROR(LOOKUP(2,1/(([1]العمليات!$B$2:$B$1000=A104)*([1]العمليات!$H$2:$H$1000&lt;&gt;"")),[1]العمليات!$H$2:$H$1000),""))</f>
        <v>2</v>
      </c>
      <c r="E104" s="3">
        <f>IF(A104="","",IFERROR(LOOKUP(2,1/(([1]العمليات!$B$2:$B$1000=A104)*([1]العمليات!$I$2:$I$1000&lt;&gt;"")),[1]العمليات!$I$2:$I$1000),""))</f>
        <v>2</v>
      </c>
    </row>
    <row r="105" spans="1:5" x14ac:dyDescent="0.35">
      <c r="A105" s="5" t="s">
        <v>90</v>
      </c>
      <c r="B105" s="5" t="s">
        <v>91</v>
      </c>
      <c r="C105" s="6">
        <f>SUMIFS([1]العمليات!G:G, [1]العمليات!B:B, A105, [1]العمليات!C:C, "إدخال") - SUMIFS([1]العمليات!G:G, [1]العمليات!B:B, A105, [1]العمليات!C:C, "إخراج")</f>
        <v>621</v>
      </c>
      <c r="D105" s="5">
        <f>IF(A105="","",IFERROR(LOOKUP(2,1/(([1]العمليات!$B$2:$B$1000=A105)*([1]العمليات!$H$2:$H$1000&lt;&gt;"")),[1]العمليات!$H$2:$H$1000),""))</f>
        <v>5</v>
      </c>
      <c r="E105" s="5">
        <f>IF(A105="","",IFERROR(LOOKUP(2,1/(([1]العمليات!$B$2:$B$1000=A105)*([1]العمليات!$I$2:$I$1000&lt;&gt;"")),[1]العمليات!$I$2:$I$1000),""))</f>
        <v>2</v>
      </c>
    </row>
    <row r="106" spans="1:5" x14ac:dyDescent="0.35">
      <c r="A106" s="3" t="s">
        <v>498</v>
      </c>
      <c r="B106" s="3" t="s">
        <v>499</v>
      </c>
      <c r="C106" s="4">
        <f>SUMIFS([1]العمليات!G:G, [1]العمليات!B:B, A106, [1]العمليات!C:C, "إدخال") - SUMIFS([1]العمليات!G:G, [1]العمليات!B:B, A106, [1]العمليات!C:C, "إخراج")</f>
        <v>0</v>
      </c>
      <c r="D106" s="3" t="str">
        <f>IF(A106="","",IFERROR(LOOKUP(2,1/(([1]العمليات!$B$2:$B$1000=A106)*([1]العمليات!$H$2:$H$1000&lt;&gt;"")),[1]العمليات!$H$2:$H$1000),""))</f>
        <v/>
      </c>
      <c r="E106" s="3" t="str">
        <f>IF(A106="","",IFERROR(LOOKUP(2,1/(([1]العمليات!$B$2:$B$1000=A106)*([1]العمليات!$I$2:$I$1000&lt;&gt;"")),[1]العمليات!$I$2:$I$1000),""))</f>
        <v/>
      </c>
    </row>
    <row r="107" spans="1:5" x14ac:dyDescent="0.35">
      <c r="A107" s="5" t="s">
        <v>500</v>
      </c>
      <c r="B107" s="5" t="s">
        <v>501</v>
      </c>
      <c r="C107" s="6">
        <f>SUMIFS([1]العمليات!G:G, [1]العمليات!B:B, A107, [1]العمليات!C:C, "إدخال") - SUMIFS([1]العمليات!G:G, [1]العمليات!B:B, A107, [1]العمليات!C:C, "إخراج")</f>
        <v>823</v>
      </c>
      <c r="D107" s="5" t="str">
        <f>IF(A107="","",IFERROR(LOOKUP(2,1/(([1]العمليات!$B$2:$B$1000=A107)*([1]العمليات!$H$2:$H$1000&lt;&gt;"")),[1]العمليات!$H$2:$H$1000),""))</f>
        <v/>
      </c>
      <c r="E107" s="5" t="str">
        <f>IF(A107="","",IFERROR(LOOKUP(2,1/(([1]العمليات!$B$2:$B$1000=A107)*([1]العمليات!$I$2:$I$1000&lt;&gt;"")),[1]العمليات!$I$2:$I$1000),""))</f>
        <v/>
      </c>
    </row>
    <row r="108" spans="1:5" x14ac:dyDescent="0.35">
      <c r="A108" s="3" t="s">
        <v>502</v>
      </c>
      <c r="B108" s="3" t="s">
        <v>503</v>
      </c>
      <c r="C108" s="4">
        <f>SUMIFS([1]العمليات!G:G, [1]العمليات!B:B, A108, [1]العمليات!C:C, "إدخال") - SUMIFS([1]العمليات!G:G, [1]العمليات!B:B, A108, [1]العمليات!C:C, "إخراج")</f>
        <v>503</v>
      </c>
      <c r="D108" s="3" t="str">
        <f>IF(A108="","",IFERROR(LOOKUP(2,1/(([1]العمليات!$B$2:$B$1000=A108)*([1]العمليات!$H$2:$H$1000&lt;&gt;"")),[1]العمليات!$H$2:$H$1000),""))</f>
        <v/>
      </c>
      <c r="E108" s="3" t="str">
        <f>IF(A108="","",IFERROR(LOOKUP(2,1/(([1]العمليات!$B$2:$B$1000=A108)*([1]العمليات!$I$2:$I$1000&lt;&gt;"")),[1]العمليات!$I$2:$I$1000),""))</f>
        <v/>
      </c>
    </row>
    <row r="109" spans="1:5" x14ac:dyDescent="0.35">
      <c r="A109" s="5" t="s">
        <v>504</v>
      </c>
      <c r="B109" s="5" t="s">
        <v>505</v>
      </c>
      <c r="C109" s="6">
        <f>SUMIFS([1]العمليات!G:G, [1]العمليات!B:B, A109, [1]العمليات!C:C, "إدخال") - SUMIFS([1]العمليات!G:G, [1]العمليات!B:B, A109, [1]العمليات!C:C, "إخراج")</f>
        <v>303</v>
      </c>
      <c r="D109" s="5" t="str">
        <f>IF(A109="","",IFERROR(LOOKUP(2,1/(([1]العمليات!$B$2:$B$1000=A109)*([1]العمليات!$H$2:$H$1000&lt;&gt;"")),[1]العمليات!$H$2:$H$1000),""))</f>
        <v/>
      </c>
      <c r="E109" s="5" t="str">
        <f>IF(A109="","",IFERROR(LOOKUP(2,1/(([1]العمليات!$B$2:$B$1000=A109)*([1]العمليات!$I$2:$I$1000&lt;&gt;"")),[1]العمليات!$I$2:$I$1000),""))</f>
        <v/>
      </c>
    </row>
    <row r="110" spans="1:5" x14ac:dyDescent="0.35">
      <c r="A110" s="3" t="s">
        <v>506</v>
      </c>
      <c r="B110" s="3" t="s">
        <v>507</v>
      </c>
      <c r="C110" s="4">
        <f>SUMIFS([1]العمليات!G:G, [1]العمليات!B:B, A110, [1]العمليات!C:C, "إدخال") - SUMIFS([1]العمليات!G:G, [1]العمليات!B:B, A110, [1]العمليات!C:C, "إخراج")</f>
        <v>194</v>
      </c>
      <c r="D110" s="3" t="str">
        <f>IF(A110="","",IFERROR(LOOKUP(2,1/(([1]العمليات!$B$2:$B$1000=A110)*([1]العمليات!$H$2:$H$1000&lt;&gt;"")),[1]العمليات!$H$2:$H$1000),""))</f>
        <v/>
      </c>
      <c r="E110" s="3" t="str">
        <f>IF(A110="","",IFERROR(LOOKUP(2,1/(([1]العمليات!$B$2:$B$1000=A110)*([1]العمليات!$I$2:$I$1000&lt;&gt;"")),[1]العمليات!$I$2:$I$1000),""))</f>
        <v/>
      </c>
    </row>
    <row r="111" spans="1:5" x14ac:dyDescent="0.35">
      <c r="A111" s="5" t="s">
        <v>92</v>
      </c>
      <c r="B111" s="5" t="s">
        <v>93</v>
      </c>
      <c r="C111" s="6">
        <f>SUMIFS([1]العمليات!G:G, [1]العمليات!B:B, A111, [1]العمليات!C:C, "إدخال") - SUMIFS([1]العمليات!G:G, [1]العمليات!B:B, A111, [1]العمليات!C:C, "إخراج")</f>
        <v>86</v>
      </c>
      <c r="D111" s="5">
        <f>IF(A111="","",IFERROR(LOOKUP(2,1/(([1]العمليات!$B$2:$B$1000=A111)*([1]العمليات!$H$2:$H$1000&lt;&gt;"")),[1]العمليات!$H$2:$H$1000),""))</f>
        <v>2</v>
      </c>
      <c r="E111" s="5">
        <f>IF(A111="","",IFERROR(LOOKUP(2,1/(([1]العمليات!$B$2:$B$1000=A111)*([1]العمليات!$I$2:$I$1000&lt;&gt;"")),[1]العمليات!$I$2:$I$1000),""))</f>
        <v>2</v>
      </c>
    </row>
    <row r="112" spans="1:5" x14ac:dyDescent="0.35">
      <c r="A112" s="3" t="s">
        <v>94</v>
      </c>
      <c r="B112" s="3" t="s">
        <v>95</v>
      </c>
      <c r="C112" s="4">
        <f>SUMIFS([1]العمليات!G:G, [1]العمليات!B:B, A112, [1]العمليات!C:C, "إدخال") - SUMIFS([1]العمليات!G:G, [1]العمليات!B:B, A112, [1]العمليات!C:C, "إخراج")</f>
        <v>751</v>
      </c>
      <c r="D112" s="3">
        <f>IF(A112="","",IFERROR(LOOKUP(2,1/(([1]العمليات!$B$2:$B$1000=A112)*([1]العمليات!$H$2:$H$1000&lt;&gt;"")),[1]العمليات!$H$2:$H$1000),""))</f>
        <v>4</v>
      </c>
      <c r="E112" s="3">
        <f>IF(A112="","",IFERROR(LOOKUP(2,1/(([1]العمليات!$B$2:$B$1000=A112)*([1]العمليات!$I$2:$I$1000&lt;&gt;"")),[1]العمليات!$I$2:$I$1000),""))</f>
        <v>1</v>
      </c>
    </row>
    <row r="113" spans="1:5" x14ac:dyDescent="0.35">
      <c r="A113" s="5" t="s">
        <v>508</v>
      </c>
      <c r="B113" s="5" t="s">
        <v>509</v>
      </c>
      <c r="C113" s="6">
        <f>SUMIFS([1]العمليات!G:G, [1]العمليات!B:B, A113, [1]العمليات!C:C, "إدخال") - SUMIFS([1]العمليات!G:G, [1]العمليات!B:B, A113, [1]العمليات!C:C, "إخراج")</f>
        <v>247</v>
      </c>
      <c r="D113" s="5" t="str">
        <f>IF(A113="","",IFERROR(LOOKUP(2,1/(([1]العمليات!$B$2:$B$1000=A113)*([1]العمليات!$H$2:$H$1000&lt;&gt;"")),[1]العمليات!$H$2:$H$1000),""))</f>
        <v/>
      </c>
      <c r="E113" s="5" t="str">
        <f>IF(A113="","",IFERROR(LOOKUP(2,1/(([1]العمليات!$B$2:$B$1000=A113)*([1]العمليات!$I$2:$I$1000&lt;&gt;"")),[1]العمليات!$I$2:$I$1000),""))</f>
        <v/>
      </c>
    </row>
    <row r="114" spans="1:5" x14ac:dyDescent="0.35">
      <c r="A114" s="3" t="s">
        <v>510</v>
      </c>
      <c r="B114" s="3" t="s">
        <v>511</v>
      </c>
      <c r="C114" s="4">
        <f>SUMIFS([1]العمليات!G:G, [1]العمليات!B:B, A114, [1]العمليات!C:C, "إدخال") - SUMIFS([1]العمليات!G:G, [1]العمليات!B:B, A114, [1]العمليات!C:C, "إخراج")</f>
        <v>18</v>
      </c>
      <c r="D114" s="3" t="str">
        <f>IF(A114="","",IFERROR(LOOKUP(2,1/(([1]العمليات!$B$2:$B$1000=A114)*([1]العمليات!$H$2:$H$1000&lt;&gt;"")),[1]العمليات!$H$2:$H$1000),""))</f>
        <v/>
      </c>
      <c r="E114" s="3" t="str">
        <f>IF(A114="","",IFERROR(LOOKUP(2,1/(([1]العمليات!$B$2:$B$1000=A114)*([1]العمليات!$I$2:$I$1000&lt;&gt;"")),[1]العمليات!$I$2:$I$1000),""))</f>
        <v/>
      </c>
    </row>
    <row r="115" spans="1:5" x14ac:dyDescent="0.35">
      <c r="A115" s="5" t="s">
        <v>512</v>
      </c>
      <c r="B115" s="5" t="s">
        <v>513</v>
      </c>
      <c r="C115" s="6">
        <f>SUMIFS([1]العمليات!G:G, [1]العمليات!B:B, A115, [1]العمليات!C:C, "إدخال") - SUMIFS([1]العمليات!G:G, [1]العمليات!B:B, A115, [1]العمليات!C:C, "إخراج")</f>
        <v>1</v>
      </c>
      <c r="D115" s="5" t="str">
        <f>IF(A115="","",IFERROR(LOOKUP(2,1/(([1]العمليات!$B$2:$B$1000=A115)*([1]العمليات!$H$2:$H$1000&lt;&gt;"")),[1]العمليات!$H$2:$H$1000),""))</f>
        <v/>
      </c>
      <c r="E115" s="5" t="str">
        <f>IF(A115="","",IFERROR(LOOKUP(2,1/(([1]العمليات!$B$2:$B$1000=A115)*([1]العمليات!$I$2:$I$1000&lt;&gt;"")),[1]العمليات!$I$2:$I$1000),""))</f>
        <v/>
      </c>
    </row>
    <row r="116" spans="1:5" x14ac:dyDescent="0.35">
      <c r="A116" s="3" t="s">
        <v>514</v>
      </c>
      <c r="B116" s="3" t="s">
        <v>515</v>
      </c>
      <c r="C116" s="4">
        <f>SUMIFS([1]العمليات!G:G, [1]العمليات!B:B, A116, [1]العمليات!C:C, "إدخال") - SUMIFS([1]العمليات!G:G, [1]العمليات!B:B, A116, [1]العمليات!C:C, "إخراج")</f>
        <v>1169</v>
      </c>
      <c r="D116" s="3">
        <f>IF(A116="","",IFERROR(LOOKUP(2,1/(([1]العمليات!$B$2:$B$1000=A116)*([1]العمليات!$H$2:$H$1000&lt;&gt;"")),[1]العمليات!$H$2:$H$1000),""))</f>
        <v>2</v>
      </c>
      <c r="E116" s="3">
        <f>IF(A116="","",IFERROR(LOOKUP(2,1/(([1]العمليات!$B$2:$B$1000=A116)*([1]العمليات!$I$2:$I$1000&lt;&gt;"")),[1]العمليات!$I$2:$I$1000),""))</f>
        <v>1</v>
      </c>
    </row>
    <row r="117" spans="1:5" x14ac:dyDescent="0.35">
      <c r="A117" s="5" t="s">
        <v>96</v>
      </c>
      <c r="B117" s="5" t="s">
        <v>97</v>
      </c>
      <c r="C117" s="6">
        <f>SUMIFS([1]العمليات!G:G, [1]العمليات!B:B, A117, [1]العمليات!C:C, "إدخال") - SUMIFS([1]العمليات!G:G, [1]العمليات!B:B, A117, [1]العمليات!C:C, "إخراج")</f>
        <v>571</v>
      </c>
      <c r="D117" s="5">
        <f>IF(A117="","",IFERROR(LOOKUP(2,1/(([1]العمليات!$B$2:$B$1000=A117)*([1]العمليات!$H$2:$H$1000&lt;&gt;"")),[1]العمليات!$H$2:$H$1000),""))</f>
        <v>4</v>
      </c>
      <c r="E117" s="5">
        <f>IF(A117="","",IFERROR(LOOKUP(2,1/(([1]العمليات!$B$2:$B$1000=A117)*([1]العمليات!$I$2:$I$1000&lt;&gt;"")),[1]العمليات!$I$2:$I$1000),""))</f>
        <v>3</v>
      </c>
    </row>
    <row r="118" spans="1:5" x14ac:dyDescent="0.35">
      <c r="A118" s="3" t="s">
        <v>516</v>
      </c>
      <c r="B118" s="3" t="s">
        <v>517</v>
      </c>
      <c r="C118" s="4">
        <f>SUMIFS([1]العمليات!G:G, [1]العمليات!B:B, A118, [1]العمليات!C:C, "إدخال") - SUMIFS([1]العمليات!G:G, [1]العمليات!B:B, A118, [1]العمليات!C:C, "إخراج")</f>
        <v>2533</v>
      </c>
      <c r="D118" s="3" t="str">
        <f>IF(A118="","",IFERROR(LOOKUP(2,1/(([1]العمليات!$B$2:$B$1000=A118)*([1]العمليات!$H$2:$H$1000&lt;&gt;"")),[1]العمليات!$H$2:$H$1000),""))</f>
        <v/>
      </c>
      <c r="E118" s="3" t="str">
        <f>IF(A118="","",IFERROR(LOOKUP(2,1/(([1]العمليات!$B$2:$B$1000=A118)*([1]العمليات!$I$2:$I$1000&lt;&gt;"")),[1]العمليات!$I$2:$I$1000),""))</f>
        <v/>
      </c>
    </row>
    <row r="119" spans="1:5" x14ac:dyDescent="0.35">
      <c r="A119" s="5" t="s">
        <v>98</v>
      </c>
      <c r="B119" s="5" t="s">
        <v>99</v>
      </c>
      <c r="C119" s="6">
        <f>SUMIFS([1]العمليات!G:G, [1]العمليات!B:B, A119, [1]العمليات!C:C, "إدخال") - SUMIFS([1]العمليات!G:G, [1]العمليات!B:B, A119, [1]العمليات!C:C, "إخراج")</f>
        <v>806</v>
      </c>
      <c r="D119" s="5">
        <f>IF(A119="","",IFERROR(LOOKUP(2,1/(([1]العمليات!$B$2:$B$1000=A119)*([1]العمليات!$H$2:$H$1000&lt;&gt;"")),[1]العمليات!$H$2:$H$1000),""))</f>
        <v>6</v>
      </c>
      <c r="E119" s="5">
        <f>IF(A119="","",IFERROR(LOOKUP(2,1/(([1]العمليات!$B$2:$B$1000=A119)*([1]العمليات!$I$2:$I$1000&lt;&gt;"")),[1]العمليات!$I$2:$I$1000),""))</f>
        <v>3</v>
      </c>
    </row>
    <row r="120" spans="1:5" x14ac:dyDescent="0.35">
      <c r="A120" s="3" t="s">
        <v>100</v>
      </c>
      <c r="B120" s="3" t="s">
        <v>101</v>
      </c>
      <c r="C120" s="4">
        <f>SUMIFS([1]العمليات!G:G, [1]العمليات!B:B, A120, [1]العمليات!C:C, "إدخال") - SUMIFS([1]العمليات!G:G, [1]العمليات!B:B, A120, [1]العمليات!C:C, "إخراج")</f>
        <v>843</v>
      </c>
      <c r="D120" s="3">
        <f>IF(A120="","",IFERROR(LOOKUP(2,1/(([1]العمليات!$B$2:$B$1000=A120)*([1]العمليات!$H$2:$H$1000&lt;&gt;"")),[1]العمليات!$H$2:$H$1000),""))</f>
        <v>4</v>
      </c>
      <c r="E120" s="3">
        <f>IF(A120="","",IFERROR(LOOKUP(2,1/(([1]العمليات!$B$2:$B$1000=A120)*([1]العمليات!$I$2:$I$1000&lt;&gt;"")),[1]العمليات!$I$2:$I$1000),""))</f>
        <v>6</v>
      </c>
    </row>
    <row r="121" spans="1:5" x14ac:dyDescent="0.35">
      <c r="A121" s="5" t="s">
        <v>518</v>
      </c>
      <c r="B121" s="5" t="s">
        <v>519</v>
      </c>
      <c r="C121" s="6">
        <f>SUMIFS([1]العمليات!G:G, [1]العمليات!B:B, A121, [1]العمليات!C:C, "إدخال") - SUMIFS([1]العمليات!G:G, [1]العمليات!B:B, A121, [1]العمليات!C:C, "إخراج")</f>
        <v>294</v>
      </c>
      <c r="D121" s="5" t="str">
        <f>IF(A121="","",IFERROR(LOOKUP(2,1/(([1]العمليات!$B$2:$B$1000=A121)*([1]العمليات!$H$2:$H$1000&lt;&gt;"")),[1]العمليات!$H$2:$H$1000),""))</f>
        <v/>
      </c>
      <c r="E121" s="5" t="str">
        <f>IF(A121="","",IFERROR(LOOKUP(2,1/(([1]العمليات!$B$2:$B$1000=A121)*([1]العمليات!$I$2:$I$1000&lt;&gt;"")),[1]العمليات!$I$2:$I$1000),""))</f>
        <v/>
      </c>
    </row>
    <row r="122" spans="1:5" x14ac:dyDescent="0.35">
      <c r="A122" s="3" t="s">
        <v>102</v>
      </c>
      <c r="B122" s="3" t="s">
        <v>103</v>
      </c>
      <c r="C122" s="4">
        <f>SUMIFS([1]العمليات!G:G, [1]العمليات!B:B, A122, [1]العمليات!C:C, "إدخال") - SUMIFS([1]العمليات!G:G, [1]العمليات!B:B, A122, [1]العمليات!C:C, "إخراج")</f>
        <v>4877</v>
      </c>
      <c r="D122" s="3">
        <f>IF(A122="","",IFERROR(LOOKUP(2,1/(([1]العمليات!$B$2:$B$1000=A122)*([1]العمليات!$H$2:$H$1000&lt;&gt;"")),[1]العمليات!$H$2:$H$1000),""))</f>
        <v>5</v>
      </c>
      <c r="E122" s="3">
        <f>IF(A122="","",IFERROR(LOOKUP(2,1/(([1]العمليات!$B$2:$B$1000=A122)*([1]العمليات!$I$2:$I$1000&lt;&gt;"")),[1]العمليات!$I$2:$I$1000),""))</f>
        <v>5</v>
      </c>
    </row>
    <row r="123" spans="1:5" x14ac:dyDescent="0.35">
      <c r="A123" s="5" t="s">
        <v>104</v>
      </c>
      <c r="B123" s="5" t="s">
        <v>105</v>
      </c>
      <c r="C123" s="6">
        <f>SUMIFS([1]العمليات!G:G, [1]العمليات!B:B, A123, [1]العمليات!C:C, "إدخال") - SUMIFS([1]العمليات!G:G, [1]العمليات!B:B, A123, [1]العمليات!C:C, "إخراج")</f>
        <v>895</v>
      </c>
      <c r="D123" s="5">
        <f>IF(A123="","",IFERROR(LOOKUP(2,1/(([1]العمليات!$B$2:$B$1000=A123)*([1]العمليات!$H$2:$H$1000&lt;&gt;"")),[1]العمليات!$H$2:$H$1000),""))</f>
        <v>5</v>
      </c>
      <c r="E123" s="5">
        <f>IF(A123="","",IFERROR(LOOKUP(2,1/(([1]العمليات!$B$2:$B$1000=A123)*([1]العمليات!$I$2:$I$1000&lt;&gt;"")),[1]العمليات!$I$2:$I$1000),""))</f>
        <v>6</v>
      </c>
    </row>
    <row r="124" spans="1:5" x14ac:dyDescent="0.35">
      <c r="A124" s="3" t="s">
        <v>520</v>
      </c>
      <c r="B124" s="3" t="s">
        <v>521</v>
      </c>
      <c r="C124" s="4">
        <f>SUMIFS([1]العمليات!G:G, [1]العمليات!B:B, A124, [1]العمليات!C:C, "إدخال") - SUMIFS([1]العمليات!G:G, [1]العمليات!B:B, A124, [1]العمليات!C:C, "إخراج")</f>
        <v>629</v>
      </c>
      <c r="D124" s="3" t="str">
        <f>IF(A124="","",IFERROR(LOOKUP(2,1/(([1]العمليات!$B$2:$B$1000=A124)*([1]العمليات!$H$2:$H$1000&lt;&gt;"")),[1]العمليات!$H$2:$H$1000),""))</f>
        <v/>
      </c>
      <c r="E124" s="3" t="str">
        <f>IF(A124="","",IFERROR(LOOKUP(2,1/(([1]العمليات!$B$2:$B$1000=A124)*([1]العمليات!$I$2:$I$1000&lt;&gt;"")),[1]العمليات!$I$2:$I$1000),""))</f>
        <v/>
      </c>
    </row>
    <row r="125" spans="1:5" x14ac:dyDescent="0.35">
      <c r="A125" s="5" t="s">
        <v>522</v>
      </c>
      <c r="B125" s="5" t="s">
        <v>523</v>
      </c>
      <c r="C125" s="6">
        <f>SUMIFS([1]العمليات!G:G, [1]العمليات!B:B, A125, [1]العمليات!C:C, "إدخال") - SUMIFS([1]العمليات!G:G, [1]العمليات!B:B, A125, [1]العمليات!C:C, "إخراج")</f>
        <v>367</v>
      </c>
      <c r="D125" s="5" t="str">
        <f>IF(A125="","",IFERROR(LOOKUP(2,1/(([1]العمليات!$B$2:$B$1000=A125)*([1]العمليات!$H$2:$H$1000&lt;&gt;"")),[1]العمليات!$H$2:$H$1000),""))</f>
        <v/>
      </c>
      <c r="E125" s="5" t="str">
        <f>IF(A125="","",IFERROR(LOOKUP(2,1/(([1]العمليات!$B$2:$B$1000=A125)*([1]العمليات!$I$2:$I$1000&lt;&gt;"")),[1]العمليات!$I$2:$I$1000),""))</f>
        <v/>
      </c>
    </row>
    <row r="126" spans="1:5" x14ac:dyDescent="0.35">
      <c r="A126" s="3" t="s">
        <v>524</v>
      </c>
      <c r="B126" s="3" t="s">
        <v>525</v>
      </c>
      <c r="C126" s="4">
        <f>SUMIFS([1]العمليات!G:G, [1]العمليات!B:B, A126, [1]العمليات!C:C, "إدخال") - SUMIFS([1]العمليات!G:G, [1]العمليات!B:B, A126, [1]العمليات!C:C, "إخراج")</f>
        <v>333</v>
      </c>
      <c r="D126" s="3" t="str">
        <f>IF(A126="","",IFERROR(LOOKUP(2,1/(([1]العمليات!$B$2:$B$1000=A126)*([1]العمليات!$H$2:$H$1000&lt;&gt;"")),[1]العمليات!$H$2:$H$1000),""))</f>
        <v/>
      </c>
      <c r="E126" s="3" t="str">
        <f>IF(A126="","",IFERROR(LOOKUP(2,1/(([1]العمليات!$B$2:$B$1000=A126)*([1]العمليات!$I$2:$I$1000&lt;&gt;"")),[1]العمليات!$I$2:$I$1000),""))</f>
        <v/>
      </c>
    </row>
    <row r="127" spans="1:5" x14ac:dyDescent="0.35">
      <c r="A127" s="5" t="s">
        <v>106</v>
      </c>
      <c r="B127" s="5" t="s">
        <v>107</v>
      </c>
      <c r="C127" s="6">
        <f>SUMIFS([1]العمليات!G:G, [1]العمليات!B:B, A127, [1]العمليات!C:C, "إدخال") - SUMIFS([1]العمليات!G:G, [1]العمليات!B:B, A127, [1]العمليات!C:C, "إخراج")</f>
        <v>758</v>
      </c>
      <c r="D127" s="5">
        <f>IF(A127="","",IFERROR(LOOKUP(2,1/(([1]العمليات!$B$2:$B$1000=A127)*([1]العمليات!$H$2:$H$1000&lt;&gt;"")),[1]العمليات!$H$2:$H$1000),""))</f>
        <v>3</v>
      </c>
      <c r="E127" s="5">
        <f>IF(A127="","",IFERROR(LOOKUP(2,1/(([1]العمليات!$B$2:$B$1000=A127)*([1]العمليات!$I$2:$I$1000&lt;&gt;"")),[1]العمليات!$I$2:$I$1000),""))</f>
        <v>5</v>
      </c>
    </row>
    <row r="128" spans="1:5" x14ac:dyDescent="0.35">
      <c r="A128" s="3" t="s">
        <v>526</v>
      </c>
      <c r="B128" s="3" t="s">
        <v>527</v>
      </c>
      <c r="C128" s="4">
        <f>SUMIFS([1]العمليات!G:G, [1]العمليات!B:B, A128, [1]العمليات!C:C, "إدخال") - SUMIFS([1]العمليات!G:G, [1]العمليات!B:B, A128, [1]العمليات!C:C, "إخراج")</f>
        <v>303</v>
      </c>
      <c r="D128" s="3" t="str">
        <f>IF(A128="","",IFERROR(LOOKUP(2,1/(([1]العمليات!$B$2:$B$1000=A128)*([1]العمليات!$H$2:$H$1000&lt;&gt;"")),[1]العمليات!$H$2:$H$1000),""))</f>
        <v/>
      </c>
      <c r="E128" s="3" t="str">
        <f>IF(A128="","",IFERROR(LOOKUP(2,1/(([1]العمليات!$B$2:$B$1000=A128)*([1]العمليات!$I$2:$I$1000&lt;&gt;"")),[1]العمليات!$I$2:$I$1000),""))</f>
        <v/>
      </c>
    </row>
    <row r="129" spans="1:5" x14ac:dyDescent="0.35">
      <c r="A129" s="5" t="s">
        <v>108</v>
      </c>
      <c r="B129" s="5" t="s">
        <v>109</v>
      </c>
      <c r="C129" s="6">
        <f>SUMIFS([1]العمليات!G:G, [1]العمليات!B:B, A129, [1]العمليات!C:C, "إدخال") - SUMIFS([1]العمليات!G:G, [1]العمليات!B:B, A129, [1]العمليات!C:C, "إخراج")</f>
        <v>1870</v>
      </c>
      <c r="D129" s="5" t="str">
        <f>IF(A129="","",IFERROR(LOOKUP(2,1/(([1]العمليات!$B$2:$B$1000=A129)*([1]العمليات!$H$2:$H$1000&lt;&gt;"")),[1]العمليات!$H$2:$H$1000),""))</f>
        <v>مختوم ومسك</v>
      </c>
      <c r="E129" s="5" t="str">
        <f>IF(A129="","",IFERROR(LOOKUP(2,1/(([1]العمليات!$B$2:$B$1000=A129)*([1]العمليات!$I$2:$I$1000&lt;&gt;"")),[1]العمليات!$I$2:$I$1000),""))</f>
        <v>-</v>
      </c>
    </row>
    <row r="130" spans="1:5" x14ac:dyDescent="0.35">
      <c r="A130" s="3" t="s">
        <v>110</v>
      </c>
      <c r="B130" s="3" t="s">
        <v>111</v>
      </c>
      <c r="C130" s="4">
        <f>SUMIFS([1]العمليات!G:G, [1]العمليات!B:B, A130, [1]العمليات!C:C, "إدخال") - SUMIFS([1]العمليات!G:G, [1]العمليات!B:B, A130, [1]العمليات!C:C, "إخراج")</f>
        <v>850</v>
      </c>
      <c r="D130" s="3">
        <f>IF(A130="","",IFERROR(LOOKUP(2,1/(([1]العمليات!$B$2:$B$1000=A130)*([1]العمليات!$H$2:$H$1000&lt;&gt;"")),[1]العمليات!$H$2:$H$1000),""))</f>
        <v>1</v>
      </c>
      <c r="E130" s="3">
        <f>IF(A130="","",IFERROR(LOOKUP(2,1/(([1]العمليات!$B$2:$B$1000=A130)*([1]العمليات!$I$2:$I$1000&lt;&gt;"")),[1]العمليات!$I$2:$I$1000),""))</f>
        <v>5</v>
      </c>
    </row>
    <row r="131" spans="1:5" x14ac:dyDescent="0.35">
      <c r="A131" s="5" t="s">
        <v>528</v>
      </c>
      <c r="B131" s="5" t="s">
        <v>529</v>
      </c>
      <c r="C131" s="6">
        <f>SUMIFS([1]العمليات!G:G, [1]العمليات!B:B, A131, [1]العمليات!C:C, "إدخال") - SUMIFS([1]العمليات!G:G, [1]العمليات!B:B, A131, [1]العمليات!C:C, "إخراج")</f>
        <v>681</v>
      </c>
      <c r="D131" s="5" t="str">
        <f>IF(A131="","",IFERROR(LOOKUP(2,1/(([1]العمليات!$B$2:$B$1000=A131)*([1]العمليات!$H$2:$H$1000&lt;&gt;"")),[1]العمليات!$H$2:$H$1000),""))</f>
        <v/>
      </c>
      <c r="E131" s="5" t="str">
        <f>IF(A131="","",IFERROR(LOOKUP(2,1/(([1]العمليات!$B$2:$B$1000=A131)*([1]العمليات!$I$2:$I$1000&lt;&gt;"")),[1]العمليات!$I$2:$I$1000),""))</f>
        <v/>
      </c>
    </row>
    <row r="132" spans="1:5" x14ac:dyDescent="0.35">
      <c r="A132" s="3" t="s">
        <v>112</v>
      </c>
      <c r="B132" s="3" t="s">
        <v>113</v>
      </c>
      <c r="C132" s="4">
        <f>SUMIFS([1]العمليات!G:G, [1]العمليات!B:B, A132, [1]العمليات!C:C, "إدخال") - SUMIFS([1]العمليات!G:G, [1]العمليات!B:B, A132, [1]العمليات!C:C, "إخراج")</f>
        <v>1828</v>
      </c>
      <c r="D132" s="3">
        <f>IF(A132="","",IFERROR(LOOKUP(2,1/(([1]العمليات!$B$2:$B$1000=A132)*([1]العمليات!$H$2:$H$1000&lt;&gt;"")),[1]العمليات!$H$2:$H$1000),""))</f>
        <v>2</v>
      </c>
      <c r="E132" s="3">
        <f>IF(A132="","",IFERROR(LOOKUP(2,1/(([1]العمليات!$B$2:$B$1000=A132)*([1]العمليات!$I$2:$I$1000&lt;&gt;"")),[1]العمليات!$I$2:$I$1000),""))</f>
        <v>1</v>
      </c>
    </row>
    <row r="133" spans="1:5" x14ac:dyDescent="0.35">
      <c r="A133" s="5" t="s">
        <v>530</v>
      </c>
      <c r="B133" s="5" t="s">
        <v>531</v>
      </c>
      <c r="C133" s="6">
        <f>SUMIFS([1]العمليات!G:G, [1]العمليات!B:B, A133, [1]العمليات!C:C, "إدخال") - SUMIFS([1]العمليات!G:G, [1]العمليات!B:B, A133, [1]العمليات!C:C, "إخراج")</f>
        <v>292</v>
      </c>
      <c r="D133" s="5" t="str">
        <f>IF(A133="","",IFERROR(LOOKUP(2,1/(([1]العمليات!$B$2:$B$1000=A133)*([1]العمليات!$H$2:$H$1000&lt;&gt;"")),[1]العمليات!$H$2:$H$1000),""))</f>
        <v/>
      </c>
      <c r="E133" s="5" t="str">
        <f>IF(A133="","",IFERROR(LOOKUP(2,1/(([1]العمليات!$B$2:$B$1000=A133)*([1]العمليات!$I$2:$I$1000&lt;&gt;"")),[1]العمليات!$I$2:$I$1000),""))</f>
        <v/>
      </c>
    </row>
    <row r="134" spans="1:5" x14ac:dyDescent="0.35">
      <c r="A134" s="3" t="s">
        <v>532</v>
      </c>
      <c r="B134" s="3" t="s">
        <v>533</v>
      </c>
      <c r="C134" s="4">
        <f>SUMIFS([1]العمليات!G:G, [1]العمليات!B:B, A134, [1]العمليات!C:C, "إدخال") - SUMIFS([1]العمليات!G:G, [1]العمليات!B:B, A134, [1]العمليات!C:C, "إخراج")</f>
        <v>477</v>
      </c>
      <c r="D134" s="3">
        <f>IF(A134="","",IFERROR(LOOKUP(2,1/(([1]العمليات!$B$2:$B$1000=A134)*([1]العمليات!$H$2:$H$1000&lt;&gt;"")),[1]العمليات!$H$2:$H$1000),""))</f>
        <v>3</v>
      </c>
      <c r="E134" s="3">
        <f>IF(A134="","",IFERROR(LOOKUP(2,1/(([1]العمليات!$B$2:$B$1000=A134)*([1]العمليات!$I$2:$I$1000&lt;&gt;"")),[1]العمليات!$I$2:$I$1000),""))</f>
        <v>4</v>
      </c>
    </row>
    <row r="135" spans="1:5" x14ac:dyDescent="0.35">
      <c r="A135" s="5" t="s">
        <v>534</v>
      </c>
      <c r="B135" s="5" t="s">
        <v>535</v>
      </c>
      <c r="C135" s="6">
        <f>SUMIFS([1]العمليات!G:G, [1]العمليات!B:B, A135, [1]العمليات!C:C, "إدخال") - SUMIFS([1]العمليات!G:G, [1]العمليات!B:B, A135, [1]العمليات!C:C, "إخراج")</f>
        <v>481</v>
      </c>
      <c r="D135" s="5" t="str">
        <f>IF(A135="","",IFERROR(LOOKUP(2,1/(([1]العمليات!$B$2:$B$1000=A135)*([1]العمليات!$H$2:$H$1000&lt;&gt;"")),[1]العمليات!$H$2:$H$1000),""))</f>
        <v/>
      </c>
      <c r="E135" s="5" t="str">
        <f>IF(A135="","",IFERROR(LOOKUP(2,1/(([1]العمليات!$B$2:$B$1000=A135)*([1]العمليات!$I$2:$I$1000&lt;&gt;"")),[1]العمليات!$I$2:$I$1000),""))</f>
        <v/>
      </c>
    </row>
    <row r="136" spans="1:5" x14ac:dyDescent="0.35">
      <c r="A136" s="3" t="s">
        <v>536</v>
      </c>
      <c r="B136" s="3" t="s">
        <v>537</v>
      </c>
      <c r="C136" s="4">
        <f>SUMIFS([1]العمليات!G:G, [1]العمليات!B:B, A136, [1]العمليات!C:C, "إدخال") - SUMIFS([1]العمليات!G:G, [1]العمليات!B:B, A136, [1]العمليات!C:C, "إخراج")</f>
        <v>714</v>
      </c>
      <c r="D136" s="3" t="str">
        <f>IF(A136="","",IFERROR(LOOKUP(2,1/(([1]العمليات!$B$2:$B$1000=A136)*([1]العمليات!$H$2:$H$1000&lt;&gt;"")),[1]العمليات!$H$2:$H$1000),""))</f>
        <v/>
      </c>
      <c r="E136" s="3" t="str">
        <f>IF(A136="","",IFERROR(LOOKUP(2,1/(([1]العمليات!$B$2:$B$1000=A136)*([1]العمليات!$I$2:$I$1000&lt;&gt;"")),[1]العمليات!$I$2:$I$1000),""))</f>
        <v/>
      </c>
    </row>
    <row r="137" spans="1:5" x14ac:dyDescent="0.35">
      <c r="A137" s="5" t="s">
        <v>538</v>
      </c>
      <c r="B137" s="5" t="s">
        <v>539</v>
      </c>
      <c r="C137" s="6">
        <f>SUMIFS([1]العمليات!G:G, [1]العمليات!B:B, A137, [1]العمليات!C:C, "إدخال") - SUMIFS([1]العمليات!G:G, [1]العمليات!B:B, A137, [1]العمليات!C:C, "إخراج")</f>
        <v>361</v>
      </c>
      <c r="D137" s="5" t="str">
        <f>IF(A137="","",IFERROR(LOOKUP(2,1/(([1]العمليات!$B$2:$B$1000=A137)*([1]العمليات!$H$2:$H$1000&lt;&gt;"")),[1]العمليات!$H$2:$H$1000),""))</f>
        <v/>
      </c>
      <c r="E137" s="5" t="str">
        <f>IF(A137="","",IFERROR(LOOKUP(2,1/(([1]العمليات!$B$2:$B$1000=A137)*([1]العمليات!$I$2:$I$1000&lt;&gt;"")),[1]العمليات!$I$2:$I$1000),""))</f>
        <v/>
      </c>
    </row>
    <row r="138" spans="1:5" x14ac:dyDescent="0.35">
      <c r="A138" s="3" t="s">
        <v>540</v>
      </c>
      <c r="B138" s="3" t="s">
        <v>541</v>
      </c>
      <c r="C138" s="4">
        <f>SUMIFS([1]العمليات!G:G, [1]العمليات!B:B, A138, [1]العمليات!C:C, "إدخال") - SUMIFS([1]العمليات!G:G, [1]العمليات!B:B, A138, [1]العمليات!C:C, "إخراج")</f>
        <v>342</v>
      </c>
      <c r="D138" s="3" t="str">
        <f>IF(A138="","",IFERROR(LOOKUP(2,1/(([1]العمليات!$B$2:$B$1000=A138)*([1]العمليات!$H$2:$H$1000&lt;&gt;"")),[1]العمليات!$H$2:$H$1000),""))</f>
        <v/>
      </c>
      <c r="E138" s="3" t="str">
        <f>IF(A138="","",IFERROR(LOOKUP(2,1/(([1]العمليات!$B$2:$B$1000=A138)*([1]العمليات!$I$2:$I$1000&lt;&gt;"")),[1]العمليات!$I$2:$I$1000),""))</f>
        <v/>
      </c>
    </row>
    <row r="139" spans="1:5" x14ac:dyDescent="0.35">
      <c r="A139" s="5" t="s">
        <v>114</v>
      </c>
      <c r="B139" s="5" t="s">
        <v>115</v>
      </c>
      <c r="C139" s="6">
        <f>SUMIFS([1]العمليات!G:G, [1]العمليات!B:B, A139, [1]العمليات!C:C, "إدخال") - SUMIFS([1]العمليات!G:G, [1]العمليات!B:B, A139, [1]العمليات!C:C, "إخراج")</f>
        <v>75</v>
      </c>
      <c r="D139" s="5">
        <f>IF(A139="","",IFERROR(LOOKUP(2,1/(([1]العمليات!$B$2:$B$1000=A139)*([1]العمليات!$H$2:$H$1000&lt;&gt;"")),[1]العمليات!$H$2:$H$1000),""))</f>
        <v>5</v>
      </c>
      <c r="E139" s="5">
        <f>IF(A139="","",IFERROR(LOOKUP(2,1/(([1]العمليات!$B$2:$B$1000=A139)*([1]العمليات!$I$2:$I$1000&lt;&gt;"")),[1]العمليات!$I$2:$I$1000),""))</f>
        <v>5</v>
      </c>
    </row>
    <row r="140" spans="1:5" x14ac:dyDescent="0.35">
      <c r="A140" s="3" t="s">
        <v>116</v>
      </c>
      <c r="B140" s="3" t="s">
        <v>117</v>
      </c>
      <c r="C140" s="4">
        <f>SUMIFS([1]العمليات!G:G, [1]العمليات!B:B, A140, [1]العمليات!C:C, "إدخال") - SUMIFS([1]العمليات!G:G, [1]العمليات!B:B, A140, [1]العمليات!C:C, "إخراج")</f>
        <v>873</v>
      </c>
      <c r="D140" s="3">
        <f>IF(A140="","",IFERROR(LOOKUP(2,1/(([1]العمليات!$B$2:$B$1000=A140)*([1]العمليات!$H$2:$H$1000&lt;&gt;"")),[1]العمليات!$H$2:$H$1000),""))</f>
        <v>1</v>
      </c>
      <c r="E140" s="3">
        <f>IF(A140="","",IFERROR(LOOKUP(2,1/(([1]العمليات!$B$2:$B$1000=A140)*([1]العمليات!$I$2:$I$1000&lt;&gt;"")),[1]العمليات!$I$2:$I$1000),""))</f>
        <v>3</v>
      </c>
    </row>
    <row r="141" spans="1:5" x14ac:dyDescent="0.35">
      <c r="A141" s="5" t="s">
        <v>542</v>
      </c>
      <c r="B141" s="5" t="s">
        <v>543</v>
      </c>
      <c r="C141" s="6">
        <f>SUMIFS([1]العمليات!G:G, [1]العمليات!B:B, A141, [1]العمليات!C:C, "إدخال") - SUMIFS([1]العمليات!G:G, [1]العمليات!B:B, A141, [1]العمليات!C:C, "إخراج")</f>
        <v>230</v>
      </c>
      <c r="D141" s="5" t="str">
        <f>IF(A141="","",IFERROR(LOOKUP(2,1/(([1]العمليات!$B$2:$B$1000=A141)*([1]العمليات!$H$2:$H$1000&lt;&gt;"")),[1]العمليات!$H$2:$H$1000),""))</f>
        <v/>
      </c>
      <c r="E141" s="5" t="str">
        <f>IF(A141="","",IFERROR(LOOKUP(2,1/(([1]العمليات!$B$2:$B$1000=A141)*([1]العمليات!$I$2:$I$1000&lt;&gt;"")),[1]العمليات!$I$2:$I$1000),""))</f>
        <v/>
      </c>
    </row>
    <row r="142" spans="1:5" x14ac:dyDescent="0.35">
      <c r="A142" s="3" t="s">
        <v>118</v>
      </c>
      <c r="B142" s="3" t="s">
        <v>119</v>
      </c>
      <c r="C142" s="4">
        <f>SUMIFS([1]العمليات!G:G, [1]العمليات!B:B, A142, [1]العمليات!C:C, "إدخال") - SUMIFS([1]العمليات!G:G, [1]العمليات!B:B, A142, [1]العمليات!C:C, "إخراج")</f>
        <v>1457</v>
      </c>
      <c r="D142" s="3">
        <f>IF(A142="","",IFERROR(LOOKUP(2,1/(([1]العمليات!$B$2:$B$1000=A142)*([1]العمليات!$H$2:$H$1000&lt;&gt;"")),[1]العمليات!$H$2:$H$1000),""))</f>
        <v>2</v>
      </c>
      <c r="E142" s="3" t="str">
        <f>IF(A142="","",IFERROR(LOOKUP(2,1/(([1]العمليات!$B$2:$B$1000=A142)*([1]العمليات!$I$2:$I$1000&lt;&gt;"")),[1]العمليات!$I$2:$I$1000),""))</f>
        <v>2ط2</v>
      </c>
    </row>
    <row r="143" spans="1:5" x14ac:dyDescent="0.35">
      <c r="A143" s="5" t="s">
        <v>120</v>
      </c>
      <c r="B143" s="5" t="s">
        <v>121</v>
      </c>
      <c r="C143" s="6">
        <f>SUMIFS([1]العمليات!G:G, [1]العمليات!B:B, A143, [1]العمليات!C:C, "إدخال") - SUMIFS([1]العمليات!G:G, [1]العمليات!B:B, A143, [1]العمليات!C:C, "إخراج")</f>
        <v>1203</v>
      </c>
      <c r="D143" s="5">
        <f>IF(A143="","",IFERROR(LOOKUP(2,1/(([1]العمليات!$B$2:$B$1000=A143)*([1]العمليات!$H$2:$H$1000&lt;&gt;"")),[1]العمليات!$H$2:$H$1000),""))</f>
        <v>3</v>
      </c>
      <c r="E143" s="5">
        <f>IF(A143="","",IFERROR(LOOKUP(2,1/(([1]العمليات!$B$2:$B$1000=A143)*([1]العمليات!$I$2:$I$1000&lt;&gt;"")),[1]العمليات!$I$2:$I$1000),""))</f>
        <v>2</v>
      </c>
    </row>
    <row r="144" spans="1:5" x14ac:dyDescent="0.35">
      <c r="A144" s="3" t="s">
        <v>544</v>
      </c>
      <c r="B144" s="3" t="s">
        <v>545</v>
      </c>
      <c r="C144" s="4">
        <f>SUMIFS([1]العمليات!G:G, [1]العمليات!B:B, A144, [1]العمليات!C:C, "إدخال") - SUMIFS([1]العمليات!G:G, [1]العمليات!B:B, A144, [1]العمليات!C:C, "إخراج")</f>
        <v>183</v>
      </c>
      <c r="D144" s="3" t="str">
        <f>IF(A144="","",IFERROR(LOOKUP(2,1/(([1]العمليات!$B$2:$B$1000=A144)*([1]العمليات!$H$2:$H$1000&lt;&gt;"")),[1]العمليات!$H$2:$H$1000),""))</f>
        <v/>
      </c>
      <c r="E144" s="3" t="str">
        <f>IF(A144="","",IFERROR(LOOKUP(2,1/(([1]العمليات!$B$2:$B$1000=A144)*([1]العمليات!$I$2:$I$1000&lt;&gt;"")),[1]العمليات!$I$2:$I$1000),""))</f>
        <v/>
      </c>
    </row>
    <row r="145" spans="1:5" x14ac:dyDescent="0.35">
      <c r="A145" s="5" t="s">
        <v>122</v>
      </c>
      <c r="B145" s="5" t="s">
        <v>123</v>
      </c>
      <c r="C145" s="6">
        <f>SUMIFS([1]العمليات!G:G, [1]العمليات!B:B, A145, [1]العمليات!C:C, "إدخال") - SUMIFS([1]العمليات!G:G, [1]العمليات!B:B, A145, [1]العمليات!C:C, "إخراج")</f>
        <v>868</v>
      </c>
      <c r="D145" s="5">
        <f>IF(A145="","",IFERROR(LOOKUP(2,1/(([1]العمليات!$B$2:$B$1000=A145)*([1]العمليات!$H$2:$H$1000&lt;&gt;"")),[1]العمليات!$H$2:$H$1000),""))</f>
        <v>6</v>
      </c>
      <c r="E145" s="5">
        <f>IF(A145="","",IFERROR(LOOKUP(2,1/(([1]العمليات!$B$2:$B$1000=A145)*([1]العمليات!$I$2:$I$1000&lt;&gt;"")),[1]العمليات!$I$2:$I$1000),""))</f>
        <v>1</v>
      </c>
    </row>
    <row r="146" spans="1:5" x14ac:dyDescent="0.35">
      <c r="A146" s="3" t="s">
        <v>546</v>
      </c>
      <c r="B146" s="3" t="s">
        <v>547</v>
      </c>
      <c r="C146" s="4">
        <f>SUMIFS([1]العمليات!G:G, [1]العمليات!B:B, A146, [1]العمليات!C:C, "إدخال") - SUMIFS([1]العمليات!G:G, [1]العمليات!B:B, A146, [1]العمليات!C:C, "إخراج")</f>
        <v>280</v>
      </c>
      <c r="D146" s="3" t="str">
        <f>IF(A146="","",IFERROR(LOOKUP(2,1/(([1]العمليات!$B$2:$B$1000=A146)*([1]العمليات!$H$2:$H$1000&lt;&gt;"")),[1]العمليات!$H$2:$H$1000),""))</f>
        <v/>
      </c>
      <c r="E146" s="3" t="str">
        <f>IF(A146="","",IFERROR(LOOKUP(2,1/(([1]العمليات!$B$2:$B$1000=A146)*([1]العمليات!$I$2:$I$1000&lt;&gt;"")),[1]العمليات!$I$2:$I$1000),""))</f>
        <v/>
      </c>
    </row>
    <row r="147" spans="1:5" x14ac:dyDescent="0.35">
      <c r="A147" s="5" t="s">
        <v>548</v>
      </c>
      <c r="B147" s="5" t="s">
        <v>549</v>
      </c>
      <c r="C147" s="6">
        <f>SUMIFS([1]العمليات!G:G, [1]العمليات!B:B, A147, [1]العمليات!C:C, "إدخال") - SUMIFS([1]العمليات!G:G, [1]العمليات!B:B, A147, [1]العمليات!C:C, "إخراج")</f>
        <v>0</v>
      </c>
      <c r="D147" s="5" t="str">
        <f>IF(A147="","",IFERROR(LOOKUP(2,1/(([1]العمليات!$B$2:$B$1000=A147)*([1]العمليات!$H$2:$H$1000&lt;&gt;"")),[1]العمليات!$H$2:$H$1000),""))</f>
        <v/>
      </c>
      <c r="E147" s="5" t="str">
        <f>IF(A147="","",IFERROR(LOOKUP(2,1/(([1]العمليات!$B$2:$B$1000=A147)*([1]العمليات!$I$2:$I$1000&lt;&gt;"")),[1]العمليات!$I$2:$I$1000),""))</f>
        <v/>
      </c>
    </row>
    <row r="148" spans="1:5" x14ac:dyDescent="0.35">
      <c r="A148" s="3" t="s">
        <v>124</v>
      </c>
      <c r="B148" s="3" t="s">
        <v>125</v>
      </c>
      <c r="C148" s="4">
        <f>SUMIFS([1]العمليات!G:G, [1]العمليات!B:B, A148, [1]العمليات!C:C, "إدخال") - SUMIFS([1]العمليات!G:G, [1]العمليات!B:B, A148, [1]العمليات!C:C, "إخراج")</f>
        <v>0</v>
      </c>
      <c r="D148" s="3">
        <f>IF(A148="","",IFERROR(LOOKUP(2,1/(([1]العمليات!$B$2:$B$1000=A148)*([1]العمليات!$H$2:$H$1000&lt;&gt;"")),[1]العمليات!$H$2:$H$1000),""))</f>
        <v>5</v>
      </c>
      <c r="E148" s="3">
        <f>IF(A148="","",IFERROR(LOOKUP(2,1/(([1]العمليات!$B$2:$B$1000=A148)*([1]العمليات!$I$2:$I$1000&lt;&gt;"")),[1]العمليات!$I$2:$I$1000),""))</f>
        <v>5</v>
      </c>
    </row>
    <row r="149" spans="1:5" x14ac:dyDescent="0.35">
      <c r="A149" s="5" t="s">
        <v>550</v>
      </c>
      <c r="B149" s="5" t="s">
        <v>551</v>
      </c>
      <c r="C149" s="6">
        <f>SUMIFS([1]العمليات!G:G, [1]العمليات!B:B, A149, [1]العمليات!C:C, "إدخال") - SUMIFS([1]العمليات!G:G, [1]العمليات!B:B, A149, [1]العمليات!C:C, "إخراج")</f>
        <v>99</v>
      </c>
      <c r="D149" s="5" t="str">
        <f>IF(A149="","",IFERROR(LOOKUP(2,1/(([1]العمليات!$B$2:$B$1000=A149)*([1]العمليات!$H$2:$H$1000&lt;&gt;"")),[1]العمليات!$H$2:$H$1000),""))</f>
        <v/>
      </c>
      <c r="E149" s="5" t="str">
        <f>IF(A149="","",IFERROR(LOOKUP(2,1/(([1]العمليات!$B$2:$B$1000=A149)*([1]العمليات!$I$2:$I$1000&lt;&gt;"")),[1]العمليات!$I$2:$I$1000),""))</f>
        <v/>
      </c>
    </row>
    <row r="150" spans="1:5" x14ac:dyDescent="0.35">
      <c r="A150" s="3" t="s">
        <v>552</v>
      </c>
      <c r="B150" s="3" t="s">
        <v>553</v>
      </c>
      <c r="C150" s="4">
        <f>SUMIFS([1]العمليات!G:G, [1]العمليات!B:B, A150, [1]العمليات!C:C, "إدخال") - SUMIFS([1]العمليات!G:G, [1]العمليات!B:B, A150, [1]العمليات!C:C, "إخراج")</f>
        <v>823</v>
      </c>
      <c r="D150" s="3" t="str">
        <f>IF(A150="","",IFERROR(LOOKUP(2,1/(([1]العمليات!$B$2:$B$1000=A150)*([1]العمليات!$H$2:$H$1000&lt;&gt;"")),[1]العمليات!$H$2:$H$1000),""))</f>
        <v/>
      </c>
      <c r="E150" s="3" t="str">
        <f>IF(A150="","",IFERROR(LOOKUP(2,1/(([1]العمليات!$B$2:$B$1000=A150)*([1]العمليات!$I$2:$I$1000&lt;&gt;"")),[1]العمليات!$I$2:$I$1000),""))</f>
        <v/>
      </c>
    </row>
    <row r="151" spans="1:5" x14ac:dyDescent="0.35">
      <c r="A151" s="5" t="s">
        <v>554</v>
      </c>
      <c r="B151" s="5" t="s">
        <v>555</v>
      </c>
      <c r="C151" s="6">
        <f>SUMIFS([1]العمليات!G:G, [1]العمليات!B:B, A151, [1]العمليات!C:C, "إدخال") - SUMIFS([1]العمليات!G:G, [1]العمليات!B:B, A151, [1]العمليات!C:C, "إخراج")</f>
        <v>0</v>
      </c>
      <c r="D151" s="5" t="str">
        <f>IF(A151="","",IFERROR(LOOKUP(2,1/(([1]العمليات!$B$2:$B$1000=A151)*([1]العمليات!$H$2:$H$1000&lt;&gt;"")),[1]العمليات!$H$2:$H$1000),""))</f>
        <v/>
      </c>
      <c r="E151" s="5" t="str">
        <f>IF(A151="","",IFERROR(LOOKUP(2,1/(([1]العمليات!$B$2:$B$1000=A151)*([1]العمليات!$I$2:$I$1000&lt;&gt;"")),[1]العمليات!$I$2:$I$1000),""))</f>
        <v/>
      </c>
    </row>
    <row r="152" spans="1:5" x14ac:dyDescent="0.35">
      <c r="A152" s="3" t="s">
        <v>556</v>
      </c>
      <c r="B152" s="3" t="s">
        <v>557</v>
      </c>
      <c r="C152" s="4">
        <f>SUMIFS([1]العمليات!G:G, [1]العمليات!B:B, A152, [1]العمليات!C:C, "إدخال") - SUMIFS([1]العمليات!G:G, [1]العمليات!B:B, A152, [1]العمليات!C:C, "إخراج")</f>
        <v>395</v>
      </c>
      <c r="D152" s="3" t="str">
        <f>IF(A152="","",IFERROR(LOOKUP(2,1/(([1]العمليات!$B$2:$B$1000=A152)*([1]العمليات!$H$2:$H$1000&lt;&gt;"")),[1]العمليات!$H$2:$H$1000),""))</f>
        <v/>
      </c>
      <c r="E152" s="3" t="str">
        <f>IF(A152="","",IFERROR(LOOKUP(2,1/(([1]العمليات!$B$2:$B$1000=A152)*([1]العمليات!$I$2:$I$1000&lt;&gt;"")),[1]العمليات!$I$2:$I$1000),""))</f>
        <v/>
      </c>
    </row>
    <row r="153" spans="1:5" x14ac:dyDescent="0.35">
      <c r="A153" s="5" t="s">
        <v>558</v>
      </c>
      <c r="B153" s="5" t="s">
        <v>559</v>
      </c>
      <c r="C153" s="6">
        <f>SUMIFS([1]العمليات!G:G, [1]العمليات!B:B, A153, [1]العمليات!C:C, "إدخال") - SUMIFS([1]العمليات!G:G, [1]العمليات!B:B, A153, [1]العمليات!C:C, "إخراج")</f>
        <v>252</v>
      </c>
      <c r="D153" s="5" t="str">
        <f>IF(A153="","",IFERROR(LOOKUP(2,1/(([1]العمليات!$B$2:$B$1000=A153)*([1]العمليات!$H$2:$H$1000&lt;&gt;"")),[1]العمليات!$H$2:$H$1000),""))</f>
        <v/>
      </c>
      <c r="E153" s="5" t="str">
        <f>IF(A153="","",IFERROR(LOOKUP(2,1/(([1]العمليات!$B$2:$B$1000=A153)*([1]العمليات!$I$2:$I$1000&lt;&gt;"")),[1]العمليات!$I$2:$I$1000),""))</f>
        <v/>
      </c>
    </row>
    <row r="154" spans="1:5" x14ac:dyDescent="0.35">
      <c r="A154" s="3" t="s">
        <v>126</v>
      </c>
      <c r="B154" s="3" t="s">
        <v>127</v>
      </c>
      <c r="C154" s="4">
        <f>SUMIFS([1]العمليات!G:G, [1]العمليات!B:B, A154, [1]العمليات!C:C, "إدخال") - SUMIFS([1]العمليات!G:G, [1]العمليات!B:B, A154, [1]العمليات!C:C, "إخراج")</f>
        <v>0</v>
      </c>
      <c r="D154" s="3">
        <f>IF(A154="","",IFERROR(LOOKUP(2,1/(([1]العمليات!$B$2:$B$1000=A154)*([1]العمليات!$H$2:$H$1000&lt;&gt;"")),[1]العمليات!$H$2:$H$1000),""))</f>
        <v>6</v>
      </c>
      <c r="E154" s="3">
        <f>IF(A154="","",IFERROR(LOOKUP(2,1/(([1]العمليات!$B$2:$B$1000=A154)*([1]العمليات!$I$2:$I$1000&lt;&gt;"")),[1]العمليات!$I$2:$I$1000),""))</f>
        <v>5</v>
      </c>
    </row>
    <row r="155" spans="1:5" x14ac:dyDescent="0.35">
      <c r="A155" s="5" t="s">
        <v>128</v>
      </c>
      <c r="B155" s="5" t="s">
        <v>129</v>
      </c>
      <c r="C155" s="6">
        <f>SUMIFS([1]العمليات!G:G, [1]العمليات!B:B, A155, [1]العمليات!C:C, "إدخال") - SUMIFS([1]العمليات!G:G, [1]العمليات!B:B, A155, [1]العمليات!C:C, "إخراج")</f>
        <v>0</v>
      </c>
      <c r="D155" s="5">
        <f>IF(A155="","",IFERROR(LOOKUP(2,1/(([1]العمليات!$B$2:$B$1000=A155)*([1]العمليات!$H$2:$H$1000&lt;&gt;"")),[1]العمليات!$H$2:$H$1000),""))</f>
        <v>2</v>
      </c>
      <c r="E155" s="5">
        <f>IF(A155="","",IFERROR(LOOKUP(2,1/(([1]العمليات!$B$2:$B$1000=A155)*([1]العمليات!$I$2:$I$1000&lt;&gt;"")),[1]العمليات!$I$2:$I$1000),""))</f>
        <v>4</v>
      </c>
    </row>
    <row r="156" spans="1:5" x14ac:dyDescent="0.35">
      <c r="A156" s="3" t="s">
        <v>560</v>
      </c>
      <c r="B156" s="3" t="s">
        <v>561</v>
      </c>
      <c r="C156" s="4">
        <f>SUMIFS([1]العمليات!G:G, [1]العمليات!B:B, A156, [1]العمليات!C:C, "إدخال") - SUMIFS([1]العمليات!G:G, [1]العمليات!B:B, A156, [1]العمليات!C:C, "إخراج")</f>
        <v>1800</v>
      </c>
      <c r="D156" s="3" t="str">
        <f>IF(A156="","",IFERROR(LOOKUP(2,1/(([1]العمليات!$B$2:$B$1000=A156)*([1]العمليات!$H$2:$H$1000&lt;&gt;"")),[1]العمليات!$H$2:$H$1000),""))</f>
        <v/>
      </c>
      <c r="E156" s="3" t="str">
        <f>IF(A156="","",IFERROR(LOOKUP(2,1/(([1]العمليات!$B$2:$B$1000=A156)*([1]العمليات!$I$2:$I$1000&lt;&gt;"")),[1]العمليات!$I$2:$I$1000),""))</f>
        <v/>
      </c>
    </row>
    <row r="157" spans="1:5" x14ac:dyDescent="0.35">
      <c r="A157" s="5" t="s">
        <v>562</v>
      </c>
      <c r="B157" s="5" t="s">
        <v>563</v>
      </c>
      <c r="C157" s="6">
        <f>SUMIFS([1]العمليات!G:G, [1]العمليات!B:B, A157, [1]العمليات!C:C, "إدخال") - SUMIFS([1]العمليات!G:G, [1]العمليات!B:B, A157, [1]العمليات!C:C, "إخراج")</f>
        <v>260</v>
      </c>
      <c r="D157" s="5" t="str">
        <f>IF(A157="","",IFERROR(LOOKUP(2,1/(([1]العمليات!$B$2:$B$1000=A157)*([1]العمليات!$H$2:$H$1000&lt;&gt;"")),[1]العمليات!$H$2:$H$1000),""))</f>
        <v/>
      </c>
      <c r="E157" s="5" t="str">
        <f>IF(A157="","",IFERROR(LOOKUP(2,1/(([1]العمليات!$B$2:$B$1000=A157)*([1]العمليات!$I$2:$I$1000&lt;&gt;"")),[1]العمليات!$I$2:$I$1000),""))</f>
        <v/>
      </c>
    </row>
    <row r="158" spans="1:5" x14ac:dyDescent="0.35">
      <c r="A158" s="3" t="s">
        <v>130</v>
      </c>
      <c r="B158" s="3" t="s">
        <v>131</v>
      </c>
      <c r="C158" s="4">
        <f>SUMIFS([1]العمليات!G:G, [1]العمليات!B:B, A158, [1]العمليات!C:C, "إدخال") - SUMIFS([1]العمليات!G:G, [1]العمليات!B:B, A158, [1]العمليات!C:C, "إخراج")</f>
        <v>484</v>
      </c>
      <c r="D158" s="3">
        <f>IF(A158="","",IFERROR(LOOKUP(2,1/(([1]العمليات!$B$2:$B$1000=A158)*([1]العمليات!$H$2:$H$1000&lt;&gt;"")),[1]العمليات!$H$2:$H$1000),""))</f>
        <v>6</v>
      </c>
      <c r="E158" s="3">
        <f>IF(A158="","",IFERROR(LOOKUP(2,1/(([1]العمليات!$B$2:$B$1000=A158)*([1]العمليات!$I$2:$I$1000&lt;&gt;"")),[1]العمليات!$I$2:$I$1000),""))</f>
        <v>5</v>
      </c>
    </row>
    <row r="159" spans="1:5" x14ac:dyDescent="0.35">
      <c r="A159" s="5" t="s">
        <v>564</v>
      </c>
      <c r="B159" s="5" t="s">
        <v>565</v>
      </c>
      <c r="C159" s="6">
        <f>SUMIFS([1]العمليات!G:G, [1]العمليات!B:B, A159, [1]العمليات!C:C, "إدخال") - SUMIFS([1]العمليات!G:G, [1]العمليات!B:B, A159, [1]العمليات!C:C, "إخراج")</f>
        <v>456</v>
      </c>
      <c r="D159" s="5" t="str">
        <f>IF(A159="","",IFERROR(LOOKUP(2,1/(([1]العمليات!$B$2:$B$1000=A159)*([1]العمليات!$H$2:$H$1000&lt;&gt;"")),[1]العمليات!$H$2:$H$1000),""))</f>
        <v/>
      </c>
      <c r="E159" s="5" t="str">
        <f>IF(A159="","",IFERROR(LOOKUP(2,1/(([1]العمليات!$B$2:$B$1000=A159)*([1]العمليات!$I$2:$I$1000&lt;&gt;"")),[1]العمليات!$I$2:$I$1000),""))</f>
        <v/>
      </c>
    </row>
    <row r="160" spans="1:5" x14ac:dyDescent="0.35">
      <c r="A160" s="3" t="s">
        <v>132</v>
      </c>
      <c r="B160" s="3" t="s">
        <v>133</v>
      </c>
      <c r="C160" s="4">
        <f>SUMIFS([1]العمليات!G:G, [1]العمليات!B:B, A160, [1]العمليات!C:C, "إدخال") - SUMIFS([1]العمليات!G:G, [1]العمليات!B:B, A160, [1]العمليات!C:C, "إخراج")</f>
        <v>989</v>
      </c>
      <c r="D160" s="3">
        <f>IF(A160="","",IFERROR(LOOKUP(2,1/(([1]العمليات!$B$2:$B$1000=A160)*([1]العمليات!$H$2:$H$1000&lt;&gt;"")),[1]العمليات!$H$2:$H$1000),""))</f>
        <v>1</v>
      </c>
      <c r="E160" s="3">
        <f>IF(A160="","",IFERROR(LOOKUP(2,1/(([1]العمليات!$B$2:$B$1000=A160)*([1]العمليات!$I$2:$I$1000&lt;&gt;"")),[1]العمليات!$I$2:$I$1000),""))</f>
        <v>5</v>
      </c>
    </row>
    <row r="161" spans="1:5" x14ac:dyDescent="0.35">
      <c r="A161" s="5" t="s">
        <v>134</v>
      </c>
      <c r="B161" s="5" t="s">
        <v>135</v>
      </c>
      <c r="C161" s="6">
        <f>SUMIFS([1]العمليات!G:G, [1]العمليات!B:B, A161, [1]العمليات!C:C, "إدخال") - SUMIFS([1]العمليات!G:G, [1]العمليات!B:B, A161, [1]العمليات!C:C, "إخراج")</f>
        <v>696</v>
      </c>
      <c r="D161" s="5">
        <f>IF(A161="","",IFERROR(LOOKUP(2,1/(([1]العمليات!$B$2:$B$1000=A161)*([1]العمليات!$H$2:$H$1000&lt;&gt;"")),[1]العمليات!$H$2:$H$1000),""))</f>
        <v>4</v>
      </c>
      <c r="E161" s="5">
        <f>IF(A161="","",IFERROR(LOOKUP(2,1/(([1]العمليات!$B$2:$B$1000=A161)*([1]العمليات!$I$2:$I$1000&lt;&gt;"")),[1]العمليات!$I$2:$I$1000),""))</f>
        <v>6</v>
      </c>
    </row>
    <row r="162" spans="1:5" x14ac:dyDescent="0.35">
      <c r="A162" s="3" t="s">
        <v>566</v>
      </c>
      <c r="B162" s="3" t="s">
        <v>567</v>
      </c>
      <c r="C162" s="4">
        <f>SUMIFS([1]العمليات!G:G, [1]العمليات!B:B, A162, [1]العمليات!C:C, "إدخال") - SUMIFS([1]العمليات!G:G, [1]العمليات!B:B, A162, [1]العمليات!C:C, "إخراج")</f>
        <v>85</v>
      </c>
      <c r="D162" s="3" t="str">
        <f>IF(A162="","",IFERROR(LOOKUP(2,1/(([1]العمليات!$B$2:$B$1000=A162)*([1]العمليات!$H$2:$H$1000&lt;&gt;"")),[1]العمليات!$H$2:$H$1000),""))</f>
        <v/>
      </c>
      <c r="E162" s="3" t="str">
        <f>IF(A162="","",IFERROR(LOOKUP(2,1/(([1]العمليات!$B$2:$B$1000=A162)*([1]العمليات!$I$2:$I$1000&lt;&gt;"")),[1]العمليات!$I$2:$I$1000),""))</f>
        <v/>
      </c>
    </row>
    <row r="163" spans="1:5" x14ac:dyDescent="0.35">
      <c r="A163" s="5" t="s">
        <v>568</v>
      </c>
      <c r="B163" s="5" t="s">
        <v>569</v>
      </c>
      <c r="C163" s="6">
        <f>SUMIFS([1]العمليات!G:G, [1]العمليات!B:B, A163, [1]العمليات!C:C, "إدخال") - SUMIFS([1]العمليات!G:G, [1]العمليات!B:B, A163, [1]العمليات!C:C, "إخراج")</f>
        <v>257</v>
      </c>
      <c r="D163" s="5" t="str">
        <f>IF(A163="","",IFERROR(LOOKUP(2,1/(([1]العمليات!$B$2:$B$1000=A163)*([1]العمليات!$H$2:$H$1000&lt;&gt;"")),[1]العمليات!$H$2:$H$1000),""))</f>
        <v/>
      </c>
      <c r="E163" s="5" t="str">
        <f>IF(A163="","",IFERROR(LOOKUP(2,1/(([1]العمليات!$B$2:$B$1000=A163)*([1]العمليات!$I$2:$I$1000&lt;&gt;"")),[1]العمليات!$I$2:$I$1000),""))</f>
        <v/>
      </c>
    </row>
    <row r="164" spans="1:5" x14ac:dyDescent="0.35">
      <c r="A164" s="3" t="s">
        <v>136</v>
      </c>
      <c r="B164" s="3" t="s">
        <v>137</v>
      </c>
      <c r="C164" s="4">
        <f>SUMIFS([1]العمليات!G:G, [1]العمليات!B:B, A164, [1]العمليات!C:C, "إدخال") - SUMIFS([1]العمليات!G:G, [1]العمليات!B:B, A164, [1]العمليات!C:C, "إخراج")</f>
        <v>3019</v>
      </c>
      <c r="D164" s="3">
        <f>IF(A164="","",IFERROR(LOOKUP(2,1/(([1]العمليات!$B$2:$B$1000=A164)*([1]العمليات!$H$2:$H$1000&lt;&gt;"")),[1]العمليات!$H$2:$H$1000),""))</f>
        <v>1</v>
      </c>
      <c r="E164" s="3">
        <f>IF(A164="","",IFERROR(LOOKUP(2,1/(([1]العمليات!$B$2:$B$1000=A164)*([1]العمليات!$I$2:$I$1000&lt;&gt;"")),[1]العمليات!$I$2:$I$1000),""))</f>
        <v>2</v>
      </c>
    </row>
    <row r="165" spans="1:5" x14ac:dyDescent="0.35">
      <c r="A165" s="5" t="s">
        <v>570</v>
      </c>
      <c r="B165" s="5" t="s">
        <v>571</v>
      </c>
      <c r="C165" s="6">
        <f>SUMIFS([1]العمليات!G:G, [1]العمليات!B:B, A165, [1]العمليات!C:C, "إدخال") - SUMIFS([1]العمليات!G:G, [1]العمليات!B:B, A165, [1]العمليات!C:C, "إخراج")</f>
        <v>260</v>
      </c>
      <c r="D165" s="5" t="str">
        <f>IF(A165="","",IFERROR(LOOKUP(2,1/(([1]العمليات!$B$2:$B$1000=A165)*([1]العمليات!$H$2:$H$1000&lt;&gt;"")),[1]العمليات!$H$2:$H$1000),""))</f>
        <v/>
      </c>
      <c r="E165" s="5" t="str">
        <f>IF(A165="","",IFERROR(LOOKUP(2,1/(([1]العمليات!$B$2:$B$1000=A165)*([1]العمليات!$I$2:$I$1000&lt;&gt;"")),[1]العمليات!$I$2:$I$1000),""))</f>
        <v/>
      </c>
    </row>
    <row r="166" spans="1:5" x14ac:dyDescent="0.35">
      <c r="A166" s="3" t="s">
        <v>572</v>
      </c>
      <c r="B166" s="3" t="s">
        <v>573</v>
      </c>
      <c r="C166" s="4">
        <f>SUMIFS([1]العمليات!G:G, [1]العمليات!B:B, A166, [1]العمليات!C:C, "إدخال") - SUMIFS([1]العمليات!G:G, [1]العمليات!B:B, A166, [1]العمليات!C:C, "إخراج")</f>
        <v>688</v>
      </c>
      <c r="D166" s="3" t="str">
        <f>IF(A166="","",IFERROR(LOOKUP(2,1/(([1]العمليات!$B$2:$B$1000=A166)*([1]العمليات!$H$2:$H$1000&lt;&gt;"")),[1]العمليات!$H$2:$H$1000),""))</f>
        <v/>
      </c>
      <c r="E166" s="3" t="str">
        <f>IF(A166="","",IFERROR(LOOKUP(2,1/(([1]العمليات!$B$2:$B$1000=A166)*([1]العمليات!$I$2:$I$1000&lt;&gt;"")),[1]العمليات!$I$2:$I$1000),""))</f>
        <v/>
      </c>
    </row>
    <row r="167" spans="1:5" x14ac:dyDescent="0.35">
      <c r="A167" s="5" t="s">
        <v>138</v>
      </c>
      <c r="B167" s="5" t="s">
        <v>139</v>
      </c>
      <c r="C167" s="6">
        <f>SUMIFS([1]العمليات!G:G, [1]العمليات!B:B, A167, [1]العمليات!C:C, "إدخال") - SUMIFS([1]العمليات!G:G, [1]العمليات!B:B, A167, [1]العمليات!C:C, "إخراج")</f>
        <v>722</v>
      </c>
      <c r="D167" s="5">
        <f>IF(A167="","",IFERROR(LOOKUP(2,1/(([1]العمليات!$B$2:$B$1000=A167)*([1]العمليات!$H$2:$H$1000&lt;&gt;"")),[1]العمليات!$H$2:$H$1000),""))</f>
        <v>4</v>
      </c>
      <c r="E167" s="5">
        <f>IF(A167="","",IFERROR(LOOKUP(2,1/(([1]العمليات!$B$2:$B$1000=A167)*([1]العمليات!$I$2:$I$1000&lt;&gt;"")),[1]العمليات!$I$2:$I$1000),""))</f>
        <v>6</v>
      </c>
    </row>
    <row r="168" spans="1:5" x14ac:dyDescent="0.35">
      <c r="A168" s="3" t="s">
        <v>140</v>
      </c>
      <c r="B168" s="3" t="s">
        <v>141</v>
      </c>
      <c r="C168" s="4">
        <f>SUMIFS([1]العمليات!G:G, [1]العمليات!B:B, A168, [1]العمليات!C:C, "إدخال") - SUMIFS([1]العمليات!G:G, [1]العمليات!B:B, A168, [1]العمليات!C:C, "إخراج")</f>
        <v>800</v>
      </c>
      <c r="D168" s="3">
        <f>IF(A168="","",IFERROR(LOOKUP(2,1/(([1]العمليات!$B$2:$B$1000=A168)*([1]العمليات!$H$2:$H$1000&lt;&gt;"")),[1]العمليات!$H$2:$H$1000),""))</f>
        <v>5</v>
      </c>
      <c r="E168" s="3">
        <f>IF(A168="","",IFERROR(LOOKUP(2,1/(([1]العمليات!$B$2:$B$1000=A168)*([1]العمليات!$I$2:$I$1000&lt;&gt;"")),[1]العمليات!$I$2:$I$1000),""))</f>
        <v>6</v>
      </c>
    </row>
    <row r="169" spans="1:5" x14ac:dyDescent="0.35">
      <c r="A169" s="5" t="s">
        <v>574</v>
      </c>
      <c r="B169" s="5" t="s">
        <v>575</v>
      </c>
      <c r="C169" s="6">
        <f>SUMIFS([1]العمليات!G:G, [1]العمليات!B:B, A169, [1]العمليات!C:C, "إدخال") - SUMIFS([1]العمليات!G:G, [1]العمليات!B:B, A169, [1]العمليات!C:C, "إخراج")</f>
        <v>515</v>
      </c>
      <c r="D169" s="5" t="str">
        <f>IF(A169="","",IFERROR(LOOKUP(2,1/(([1]العمليات!$B$2:$B$1000=A169)*([1]العمليات!$H$2:$H$1000&lt;&gt;"")),[1]العمليات!$H$2:$H$1000),""))</f>
        <v/>
      </c>
      <c r="E169" s="5" t="str">
        <f>IF(A169="","",IFERROR(LOOKUP(2,1/(([1]العمليات!$B$2:$B$1000=A169)*([1]العمليات!$I$2:$I$1000&lt;&gt;"")),[1]العمليات!$I$2:$I$1000),""))</f>
        <v/>
      </c>
    </row>
    <row r="170" spans="1:5" x14ac:dyDescent="0.35">
      <c r="A170" s="3" t="s">
        <v>576</v>
      </c>
      <c r="B170" s="3" t="s">
        <v>577</v>
      </c>
      <c r="C170" s="4">
        <f>SUMIFS([1]العمليات!G:G, [1]العمليات!B:B, A170, [1]العمليات!C:C, "إدخال") - SUMIFS([1]العمليات!G:G, [1]العمليات!B:B, A170, [1]العمليات!C:C, "إخراج")</f>
        <v>845</v>
      </c>
      <c r="D170" s="3" t="str">
        <f>IF(A170="","",IFERROR(LOOKUP(2,1/(([1]العمليات!$B$2:$B$1000=A170)*([1]العمليات!$H$2:$H$1000&lt;&gt;"")),[1]العمليات!$H$2:$H$1000),""))</f>
        <v/>
      </c>
      <c r="E170" s="3" t="str">
        <f>IF(A170="","",IFERROR(LOOKUP(2,1/(([1]العمليات!$B$2:$B$1000=A170)*([1]العمليات!$I$2:$I$1000&lt;&gt;"")),[1]العمليات!$I$2:$I$1000),""))</f>
        <v/>
      </c>
    </row>
    <row r="171" spans="1:5" x14ac:dyDescent="0.35">
      <c r="A171" s="5" t="s">
        <v>142</v>
      </c>
      <c r="B171" s="5" t="s">
        <v>143</v>
      </c>
      <c r="C171" s="6">
        <f>SUMIFS([1]العمليات!G:G, [1]العمليات!B:B, A171, [1]العمليات!C:C, "إدخال") - SUMIFS([1]العمليات!G:G, [1]العمليات!B:B, A171, [1]العمليات!C:C, "إخراج")</f>
        <v>2306</v>
      </c>
      <c r="D171" s="5" t="str">
        <f>IF(A171="","",IFERROR(LOOKUP(2,1/(([1]العمليات!$B$2:$B$1000=A171)*([1]العمليات!$H$2:$H$1000&lt;&gt;"")),[1]العمليات!$H$2:$H$1000),""))</f>
        <v>مختوم ومسك</v>
      </c>
      <c r="E171" s="5" t="str">
        <f>IF(A171="","",IFERROR(LOOKUP(2,1/(([1]العمليات!$B$2:$B$1000=A171)*([1]العمليات!$I$2:$I$1000&lt;&gt;"")),[1]العمليات!$I$2:$I$1000),""))</f>
        <v>-</v>
      </c>
    </row>
    <row r="172" spans="1:5" x14ac:dyDescent="0.35">
      <c r="A172" s="3" t="s">
        <v>144</v>
      </c>
      <c r="B172" s="3" t="s">
        <v>145</v>
      </c>
      <c r="C172" s="4">
        <f>SUMIFS([1]العمليات!G:G, [1]العمليات!B:B, A172, [1]العمليات!C:C, "إدخال") - SUMIFS([1]العمليات!G:G, [1]العمليات!B:B, A172, [1]العمليات!C:C, "إخراج")</f>
        <v>782</v>
      </c>
      <c r="D172" s="3">
        <f>IF(A172="","",IFERROR(LOOKUP(2,1/(([1]العمليات!$B$2:$B$1000=A172)*([1]العمليات!$H$2:$H$1000&lt;&gt;"")),[1]العمليات!$H$2:$H$1000),""))</f>
        <v>5</v>
      </c>
      <c r="E172" s="3">
        <f>IF(A172="","",IFERROR(LOOKUP(2,1/(([1]العمليات!$B$2:$B$1000=A172)*([1]العمليات!$I$2:$I$1000&lt;&gt;"")),[1]العمليات!$I$2:$I$1000),""))</f>
        <v>1</v>
      </c>
    </row>
    <row r="173" spans="1:5" x14ac:dyDescent="0.35">
      <c r="A173" s="5" t="s">
        <v>146</v>
      </c>
      <c r="B173" s="5" t="s">
        <v>147</v>
      </c>
      <c r="C173" s="6">
        <f>SUMIFS([1]العمليات!G:G, [1]العمليات!B:B, A173, [1]العمليات!C:C, "إدخال") - SUMIFS([1]العمليات!G:G, [1]العمليات!B:B, A173, [1]العمليات!C:C, "إخراج")</f>
        <v>129</v>
      </c>
      <c r="D173" s="5">
        <f>IF(A173="","",IFERROR(LOOKUP(2,1/(([1]العمليات!$B$2:$B$1000=A173)*([1]العمليات!$H$2:$H$1000&lt;&gt;"")),[1]العمليات!$H$2:$H$1000),""))</f>
        <v>4</v>
      </c>
      <c r="E173" s="5">
        <f>IF(A173="","",IFERROR(LOOKUP(2,1/(([1]العمليات!$B$2:$B$1000=A173)*([1]العمليات!$I$2:$I$1000&lt;&gt;"")),[1]العمليات!$I$2:$I$1000),""))</f>
        <v>2</v>
      </c>
    </row>
    <row r="174" spans="1:5" x14ac:dyDescent="0.35">
      <c r="A174" s="3" t="s">
        <v>578</v>
      </c>
      <c r="B174" s="3" t="s">
        <v>579</v>
      </c>
      <c r="C174" s="4">
        <f>SUMIFS([1]العمليات!G:G, [1]العمليات!B:B, A174, [1]العمليات!C:C, "إدخال") - SUMIFS([1]العمليات!G:G, [1]العمليات!B:B, A174, [1]العمليات!C:C, "إخراج")</f>
        <v>241</v>
      </c>
      <c r="D174" s="3" t="str">
        <f>IF(A174="","",IFERROR(LOOKUP(2,1/(([1]العمليات!$B$2:$B$1000=A174)*([1]العمليات!$H$2:$H$1000&lt;&gt;"")),[1]العمليات!$H$2:$H$1000),""))</f>
        <v/>
      </c>
      <c r="E174" s="3" t="str">
        <f>IF(A174="","",IFERROR(LOOKUP(2,1/(([1]العمليات!$B$2:$B$1000=A174)*([1]العمليات!$I$2:$I$1000&lt;&gt;"")),[1]العمليات!$I$2:$I$1000),""))</f>
        <v/>
      </c>
    </row>
    <row r="175" spans="1:5" x14ac:dyDescent="0.35">
      <c r="A175" s="5" t="s">
        <v>148</v>
      </c>
      <c r="B175" s="5" t="s">
        <v>149</v>
      </c>
      <c r="C175" s="6">
        <f>SUMIFS([1]العمليات!G:G, [1]العمليات!B:B, A175, [1]العمليات!C:C, "إدخال") - SUMIFS([1]العمليات!G:G, [1]العمليات!B:B, A175, [1]العمليات!C:C, "إخراج")</f>
        <v>1354</v>
      </c>
      <c r="D175" s="5">
        <f>IF(A175="","",IFERROR(LOOKUP(2,1/(([1]العمليات!$B$2:$B$1000=A175)*([1]العمليات!$H$2:$H$1000&lt;&gt;"")),[1]العمليات!$H$2:$H$1000),""))</f>
        <v>5</v>
      </c>
      <c r="E175" s="5">
        <f>IF(A175="","",IFERROR(LOOKUP(2,1/(([1]العمليات!$B$2:$B$1000=A175)*([1]العمليات!$I$2:$I$1000&lt;&gt;"")),[1]العمليات!$I$2:$I$1000),""))</f>
        <v>1</v>
      </c>
    </row>
    <row r="176" spans="1:5" x14ac:dyDescent="0.35">
      <c r="A176" s="3" t="s">
        <v>150</v>
      </c>
      <c r="B176" s="3" t="s">
        <v>151</v>
      </c>
      <c r="C176" s="4">
        <f>SUMIFS([1]العمليات!G:G, [1]العمليات!B:B, A176, [1]العمليات!C:C, "إدخال") - SUMIFS([1]العمليات!G:G, [1]العمليات!B:B, A176, [1]العمليات!C:C, "إخراج")</f>
        <v>700</v>
      </c>
      <c r="D176" s="3">
        <f>IF(A176="","",IFERROR(LOOKUP(2,1/(([1]العمليات!$B$2:$B$1000=A176)*([1]العمليات!$H$2:$H$1000&lt;&gt;"")),[1]العمليات!$H$2:$H$1000),""))</f>
        <v>4</v>
      </c>
      <c r="E176" s="3">
        <f>IF(A176="","",IFERROR(LOOKUP(2,1/(([1]العمليات!$B$2:$B$1000=A176)*([1]العمليات!$I$2:$I$1000&lt;&gt;"")),[1]العمليات!$I$2:$I$1000),""))</f>
        <v>2</v>
      </c>
    </row>
    <row r="177" spans="1:5" x14ac:dyDescent="0.35">
      <c r="A177" s="5" t="s">
        <v>580</v>
      </c>
      <c r="B177" s="5" t="s">
        <v>581</v>
      </c>
      <c r="C177" s="6">
        <f>SUMIFS([1]العمليات!G:G, [1]العمليات!B:B, A177, [1]العمليات!C:C, "إدخال") - SUMIFS([1]العمليات!G:G, [1]العمليات!B:B, A177, [1]العمليات!C:C, "إخراج")</f>
        <v>341</v>
      </c>
      <c r="D177" s="5" t="str">
        <f>IF(A177="","",IFERROR(LOOKUP(2,1/(([1]العمليات!$B$2:$B$1000=A177)*([1]العمليات!$H$2:$H$1000&lt;&gt;"")),[1]العمليات!$H$2:$H$1000),""))</f>
        <v/>
      </c>
      <c r="E177" s="5" t="str">
        <f>IF(A177="","",IFERROR(LOOKUP(2,1/(([1]العمليات!$B$2:$B$1000=A177)*([1]العمليات!$I$2:$I$1000&lt;&gt;"")),[1]العمليات!$I$2:$I$1000),""))</f>
        <v/>
      </c>
    </row>
    <row r="178" spans="1:5" x14ac:dyDescent="0.35">
      <c r="A178" s="3" t="s">
        <v>582</v>
      </c>
      <c r="B178" s="3" t="s">
        <v>583</v>
      </c>
      <c r="C178" s="4">
        <f>SUMIFS([1]العمليات!G:G, [1]العمليات!B:B, A178, [1]العمليات!C:C, "إدخال") - SUMIFS([1]العمليات!G:G, [1]العمليات!B:B, A178, [1]العمليات!C:C, "إخراج")</f>
        <v>183</v>
      </c>
      <c r="D178" s="3" t="str">
        <f>IF(A178="","",IFERROR(LOOKUP(2,1/(([1]العمليات!$B$2:$B$1000=A178)*([1]العمليات!$H$2:$H$1000&lt;&gt;"")),[1]العمليات!$H$2:$H$1000),""))</f>
        <v/>
      </c>
      <c r="E178" s="3" t="str">
        <f>IF(A178="","",IFERROR(LOOKUP(2,1/(([1]العمليات!$B$2:$B$1000=A178)*([1]العمليات!$I$2:$I$1000&lt;&gt;"")),[1]العمليات!$I$2:$I$1000),""))</f>
        <v/>
      </c>
    </row>
    <row r="179" spans="1:5" x14ac:dyDescent="0.35">
      <c r="A179" s="5" t="s">
        <v>584</v>
      </c>
      <c r="B179" s="5" t="s">
        <v>585</v>
      </c>
      <c r="C179" s="6">
        <f>SUMIFS([1]العمليات!G:G, [1]العمليات!B:B, A179, [1]العمليات!C:C, "إدخال") - SUMIFS([1]العمليات!G:G, [1]العمليات!B:B, A179, [1]العمليات!C:C, "إخراج")</f>
        <v>156</v>
      </c>
      <c r="D179" s="5" t="str">
        <f>IF(A179="","",IFERROR(LOOKUP(2,1/(([1]العمليات!$B$2:$B$1000=A179)*([1]العمليات!$H$2:$H$1000&lt;&gt;"")),[1]العمليات!$H$2:$H$1000),""))</f>
        <v/>
      </c>
      <c r="E179" s="5" t="str">
        <f>IF(A179="","",IFERROR(LOOKUP(2,1/(([1]العمليات!$B$2:$B$1000=A179)*([1]العمليات!$I$2:$I$1000&lt;&gt;"")),[1]العمليات!$I$2:$I$1000),""))</f>
        <v/>
      </c>
    </row>
    <row r="180" spans="1:5" x14ac:dyDescent="0.35">
      <c r="A180" s="3" t="s">
        <v>586</v>
      </c>
      <c r="B180" s="3" t="s">
        <v>587</v>
      </c>
      <c r="C180" s="4">
        <f>SUMIFS([1]العمليات!G:G, [1]العمليات!B:B, A180, [1]العمليات!C:C, "إدخال") - SUMIFS([1]العمليات!G:G, [1]العمليات!B:B, A180, [1]العمليات!C:C, "إخراج")</f>
        <v>464</v>
      </c>
      <c r="D180" s="3" t="str">
        <f>IF(A180="","",IFERROR(LOOKUP(2,1/(([1]العمليات!$B$2:$B$1000=A180)*([1]العمليات!$H$2:$H$1000&lt;&gt;"")),[1]العمليات!$H$2:$H$1000),""))</f>
        <v/>
      </c>
      <c r="E180" s="3" t="str">
        <f>IF(A180="","",IFERROR(LOOKUP(2,1/(([1]العمليات!$B$2:$B$1000=A180)*([1]العمليات!$I$2:$I$1000&lt;&gt;"")),[1]العمليات!$I$2:$I$1000),""))</f>
        <v/>
      </c>
    </row>
    <row r="181" spans="1:5" x14ac:dyDescent="0.35">
      <c r="A181" s="5" t="s">
        <v>152</v>
      </c>
      <c r="B181" s="5" t="s">
        <v>153</v>
      </c>
      <c r="C181" s="6">
        <f>SUMIFS([1]العمليات!G:G, [1]العمليات!B:B, A181, [1]العمليات!C:C, "إدخال") - SUMIFS([1]العمليات!G:G, [1]العمليات!B:B, A181, [1]العمليات!C:C, "إخراج")</f>
        <v>601</v>
      </c>
      <c r="D181" s="5" t="str">
        <f>IF(A181="","",IFERROR(LOOKUP(2,1/(([1]العمليات!$B$2:$B$1000=A181)*([1]العمليات!$H$2:$H$1000&lt;&gt;"")),[1]العمليات!$H$2:$H$1000),""))</f>
        <v>مختوم ومسك</v>
      </c>
      <c r="E181" s="5" t="str">
        <f>IF(A181="","",IFERROR(LOOKUP(2,1/(([1]العمليات!$B$2:$B$1000=A181)*([1]العمليات!$I$2:$I$1000&lt;&gt;"")),[1]العمليات!$I$2:$I$1000),""))</f>
        <v>-</v>
      </c>
    </row>
    <row r="182" spans="1:5" x14ac:dyDescent="0.35">
      <c r="A182" s="3" t="s">
        <v>154</v>
      </c>
      <c r="B182" s="3" t="s">
        <v>155</v>
      </c>
      <c r="C182" s="4">
        <f>SUMIFS([1]العمليات!G:G, [1]العمليات!B:B, A182, [1]العمليات!C:C, "إدخال") - SUMIFS([1]العمليات!G:G, [1]العمليات!B:B, A182, [1]العمليات!C:C, "إخراج")</f>
        <v>574</v>
      </c>
      <c r="D182" s="3">
        <f>IF(A182="","",IFERROR(LOOKUP(2,1/(([1]العمليات!$B$2:$B$1000=A182)*([1]العمليات!$H$2:$H$1000&lt;&gt;"")),[1]العمليات!$H$2:$H$1000),""))</f>
        <v>6</v>
      </c>
      <c r="E182" s="3">
        <f>IF(A182="","",IFERROR(LOOKUP(2,1/(([1]العمليات!$B$2:$B$1000=A182)*([1]العمليات!$I$2:$I$1000&lt;&gt;"")),[1]العمليات!$I$2:$I$1000),""))</f>
        <v>2</v>
      </c>
    </row>
    <row r="183" spans="1:5" x14ac:dyDescent="0.35">
      <c r="A183" s="5" t="s">
        <v>588</v>
      </c>
      <c r="B183" s="5" t="s">
        <v>589</v>
      </c>
      <c r="C183" s="6">
        <f>SUMIFS([1]العمليات!G:G, [1]العمليات!B:B, A183, [1]العمليات!C:C, "إدخال") - SUMIFS([1]العمليات!G:G, [1]العمليات!B:B, A183, [1]العمليات!C:C, "إخراج")</f>
        <v>99</v>
      </c>
      <c r="D183" s="5" t="str">
        <f>IF(A183="","",IFERROR(LOOKUP(2,1/(([1]العمليات!$B$2:$B$1000=A183)*([1]العمليات!$H$2:$H$1000&lt;&gt;"")),[1]العمليات!$H$2:$H$1000),""))</f>
        <v/>
      </c>
      <c r="E183" s="5" t="str">
        <f>IF(A183="","",IFERROR(LOOKUP(2,1/(([1]العمليات!$B$2:$B$1000=A183)*([1]العمليات!$I$2:$I$1000&lt;&gt;"")),[1]العمليات!$I$2:$I$1000),""))</f>
        <v/>
      </c>
    </row>
    <row r="184" spans="1:5" x14ac:dyDescent="0.35">
      <c r="A184" s="3" t="s">
        <v>590</v>
      </c>
      <c r="B184" s="3" t="s">
        <v>591</v>
      </c>
      <c r="C184" s="4">
        <f>SUMIFS([1]العمليات!G:G, [1]العمليات!B:B, A184, [1]العمليات!C:C, "إدخال") - SUMIFS([1]العمليات!G:G, [1]العمليات!B:B, A184, [1]العمليات!C:C, "إخراج")</f>
        <v>308</v>
      </c>
      <c r="D184" s="3" t="str">
        <f>IF(A184="","",IFERROR(LOOKUP(2,1/(([1]العمليات!$B$2:$B$1000=A184)*([1]العمليات!$H$2:$H$1000&lt;&gt;"")),[1]العمليات!$H$2:$H$1000),""))</f>
        <v/>
      </c>
      <c r="E184" s="3" t="str">
        <f>IF(A184="","",IFERROR(LOOKUP(2,1/(([1]العمليات!$B$2:$B$1000=A184)*([1]العمليات!$I$2:$I$1000&lt;&gt;"")),[1]العمليات!$I$2:$I$1000),""))</f>
        <v/>
      </c>
    </row>
    <row r="185" spans="1:5" x14ac:dyDescent="0.35">
      <c r="A185" s="5" t="s">
        <v>592</v>
      </c>
      <c r="B185" s="5" t="s">
        <v>593</v>
      </c>
      <c r="C185" s="6">
        <f>SUMIFS([1]العمليات!G:G, [1]العمليات!B:B, A185, [1]العمليات!C:C, "إدخال") - SUMIFS([1]العمليات!G:G, [1]العمليات!B:B, A185, [1]العمليات!C:C, "إخراج")</f>
        <v>293</v>
      </c>
      <c r="D185" s="5" t="str">
        <f>IF(A185="","",IFERROR(LOOKUP(2,1/(([1]العمليات!$B$2:$B$1000=A185)*([1]العمليات!$H$2:$H$1000&lt;&gt;"")),[1]العمليات!$H$2:$H$1000),""))</f>
        <v/>
      </c>
      <c r="E185" s="5" t="str">
        <f>IF(A185="","",IFERROR(LOOKUP(2,1/(([1]العمليات!$B$2:$B$1000=A185)*([1]العمليات!$I$2:$I$1000&lt;&gt;"")),[1]العمليات!$I$2:$I$1000),""))</f>
        <v/>
      </c>
    </row>
    <row r="186" spans="1:5" x14ac:dyDescent="0.35">
      <c r="A186" s="3" t="s">
        <v>156</v>
      </c>
      <c r="B186" s="3" t="s">
        <v>157</v>
      </c>
      <c r="C186" s="4">
        <f>SUMIFS([1]العمليات!G:G, [1]العمليات!B:B, A186, [1]العمليات!C:C, "إدخال") - SUMIFS([1]العمليات!G:G, [1]العمليات!B:B, A186, [1]العمليات!C:C, "إخراج")</f>
        <v>1475</v>
      </c>
      <c r="D186" s="3" t="str">
        <f>IF(A186="","",IFERROR(LOOKUP(2,1/(([1]العمليات!$B$2:$B$1000=A186)*([1]العمليات!$H$2:$H$1000&lt;&gt;"")),[1]العمليات!$H$2:$H$1000),""))</f>
        <v>مختوم ومسك</v>
      </c>
      <c r="E186" s="3" t="str">
        <f>IF(A186="","",IFERROR(LOOKUP(2,1/(([1]العمليات!$B$2:$B$1000=A186)*([1]العمليات!$I$2:$I$1000&lt;&gt;"")),[1]العمليات!$I$2:$I$1000),""))</f>
        <v>-</v>
      </c>
    </row>
    <row r="187" spans="1:5" x14ac:dyDescent="0.35">
      <c r="A187" s="5" t="s">
        <v>158</v>
      </c>
      <c r="B187" s="5" t="s">
        <v>159</v>
      </c>
      <c r="C187" s="6">
        <f>SUMIFS([1]العمليات!G:G, [1]العمليات!B:B, A187, [1]العمليات!C:C, "إدخال") - SUMIFS([1]العمليات!G:G, [1]العمليات!B:B, A187, [1]العمليات!C:C, "إخراج")</f>
        <v>310</v>
      </c>
      <c r="D187" s="5" t="str">
        <f>IF(A187="","",IFERROR(LOOKUP(2,1/(([1]العمليات!$B$2:$B$1000=A187)*([1]العمليات!$H$2:$H$1000&lt;&gt;"")),[1]العمليات!$H$2:$H$1000),""))</f>
        <v>مختوم ومسك</v>
      </c>
      <c r="E187" s="5" t="str">
        <f>IF(A187="","",IFERROR(LOOKUP(2,1/(([1]العمليات!$B$2:$B$1000=A187)*([1]العمليات!$I$2:$I$1000&lt;&gt;"")),[1]العمليات!$I$2:$I$1000),""))</f>
        <v>-</v>
      </c>
    </row>
    <row r="188" spans="1:5" x14ac:dyDescent="0.35">
      <c r="A188" s="3" t="s">
        <v>160</v>
      </c>
      <c r="B188" s="3" t="s">
        <v>161</v>
      </c>
      <c r="C188" s="4">
        <f>SUMIFS([1]العمليات!G:G, [1]العمليات!B:B, A188, [1]العمليات!C:C, "إدخال") - SUMIFS([1]العمليات!G:G, [1]العمليات!B:B, A188, [1]العمليات!C:C, "إخراج")</f>
        <v>1991</v>
      </c>
      <c r="D188" s="3">
        <f>IF(A188="","",IFERROR(LOOKUP(2,1/(([1]العمليات!$B$2:$B$1000=A188)*([1]العمليات!$H$2:$H$1000&lt;&gt;"")),[1]العمليات!$H$2:$H$1000),""))</f>
        <v>3</v>
      </c>
      <c r="E188" s="3" t="str">
        <f>IF(A188="","",IFERROR(LOOKUP(2,1/(([1]العمليات!$B$2:$B$1000=A188)*([1]العمليات!$I$2:$I$1000&lt;&gt;"")),[1]العمليات!$I$2:$I$1000),""))</f>
        <v>3ط2</v>
      </c>
    </row>
    <row r="189" spans="1:5" x14ac:dyDescent="0.35">
      <c r="A189" s="5" t="s">
        <v>594</v>
      </c>
      <c r="B189" s="5" t="s">
        <v>595</v>
      </c>
      <c r="C189" s="6">
        <f>SUMIFS([1]العمليات!G:G, [1]العمليات!B:B, A189, [1]العمليات!C:C, "إدخال") - SUMIFS([1]العمليات!G:G, [1]العمليات!B:B, A189, [1]العمليات!C:C, "إخراج")</f>
        <v>3</v>
      </c>
      <c r="D189" s="5" t="str">
        <f>IF(A189="","",IFERROR(LOOKUP(2,1/(([1]العمليات!$B$2:$B$1000=A189)*([1]العمليات!$H$2:$H$1000&lt;&gt;"")),[1]العمليات!$H$2:$H$1000),""))</f>
        <v/>
      </c>
      <c r="E189" s="5" t="str">
        <f>IF(A189="","",IFERROR(LOOKUP(2,1/(([1]العمليات!$B$2:$B$1000=A189)*([1]العمليات!$I$2:$I$1000&lt;&gt;"")),[1]العمليات!$I$2:$I$1000),""))</f>
        <v/>
      </c>
    </row>
    <row r="190" spans="1:5" x14ac:dyDescent="0.35">
      <c r="A190" s="3" t="s">
        <v>162</v>
      </c>
      <c r="B190" s="3" t="s">
        <v>163</v>
      </c>
      <c r="C190" s="4">
        <f>SUMIFS([1]العمليات!G:G, [1]العمليات!B:B, A190, [1]العمليات!C:C, "إدخال") - SUMIFS([1]العمليات!G:G, [1]العمليات!B:B, A190, [1]العمليات!C:C, "إخراج")</f>
        <v>1500</v>
      </c>
      <c r="D190" s="3">
        <f>IF(A190="","",IFERROR(LOOKUP(2,1/(([1]العمليات!$B$2:$B$1000=A190)*([1]العمليات!$H$2:$H$1000&lt;&gt;"")),[1]العمليات!$H$2:$H$1000),""))</f>
        <v>3</v>
      </c>
      <c r="E190" s="3">
        <f>IF(A190="","",IFERROR(LOOKUP(2,1/(([1]العمليات!$B$2:$B$1000=A190)*([1]العمليات!$I$2:$I$1000&lt;&gt;"")),[1]العمليات!$I$2:$I$1000),""))</f>
        <v>5</v>
      </c>
    </row>
    <row r="191" spans="1:5" x14ac:dyDescent="0.35">
      <c r="A191" s="5" t="s">
        <v>596</v>
      </c>
      <c r="B191" s="5" t="s">
        <v>597</v>
      </c>
      <c r="C191" s="6">
        <f>SUMIFS([1]العمليات!G:G, [1]العمليات!B:B, A191, [1]العمليات!C:C, "إدخال") - SUMIFS([1]العمليات!G:G, [1]العمليات!B:B, A191, [1]العمليات!C:C, "إخراج")</f>
        <v>178</v>
      </c>
      <c r="D191" s="5" t="str">
        <f>IF(A191="","",IFERROR(LOOKUP(2,1/(([1]العمليات!$B$2:$B$1000=A191)*([1]العمليات!$H$2:$H$1000&lt;&gt;"")),[1]العمليات!$H$2:$H$1000),""))</f>
        <v/>
      </c>
      <c r="E191" s="5" t="str">
        <f>IF(A191="","",IFERROR(LOOKUP(2,1/(([1]العمليات!$B$2:$B$1000=A191)*([1]العمليات!$I$2:$I$1000&lt;&gt;"")),[1]العمليات!$I$2:$I$1000),""))</f>
        <v/>
      </c>
    </row>
    <row r="192" spans="1:5" x14ac:dyDescent="0.35">
      <c r="A192" s="3" t="s">
        <v>598</v>
      </c>
      <c r="B192" s="3" t="s">
        <v>599</v>
      </c>
      <c r="C192" s="4">
        <f>SUMIFS([1]العمليات!G:G, [1]العمليات!B:B, A192, [1]العمليات!C:C, "إدخال") - SUMIFS([1]العمليات!G:G, [1]العمليات!B:B, A192, [1]العمليات!C:C, "إخراج")</f>
        <v>291</v>
      </c>
      <c r="D192" s="3">
        <f>IF(A192="","",IFERROR(LOOKUP(2,1/(([1]العمليات!$B$2:$B$1000=A192)*([1]العمليات!$H$2:$H$1000&lt;&gt;"")),[1]العمليات!$H$2:$H$1000),""))</f>
        <v>3</v>
      </c>
      <c r="E192" s="3">
        <f>IF(A192="","",IFERROR(LOOKUP(2,1/(([1]العمليات!$B$2:$B$1000=A192)*([1]العمليات!$I$2:$I$1000&lt;&gt;"")),[1]العمليات!$I$2:$I$1000),""))</f>
        <v>4</v>
      </c>
    </row>
    <row r="193" spans="1:5" x14ac:dyDescent="0.35">
      <c r="A193" s="5" t="s">
        <v>164</v>
      </c>
      <c r="B193" s="5" t="s">
        <v>165</v>
      </c>
      <c r="C193" s="6">
        <f>SUMIFS([1]العمليات!G:G, [1]العمليات!B:B, A193, [1]العمليات!C:C, "إدخال") - SUMIFS([1]العمليات!G:G, [1]العمليات!B:B, A193, [1]العمليات!C:C, "إخراج")</f>
        <v>916</v>
      </c>
      <c r="D193" s="5">
        <f>IF(A193="","",IFERROR(LOOKUP(2,1/(([1]العمليات!$B$2:$B$1000=A193)*([1]العمليات!$H$2:$H$1000&lt;&gt;"")),[1]العمليات!$H$2:$H$1000),""))</f>
        <v>6</v>
      </c>
      <c r="E193" s="5">
        <f>IF(A193="","",IFERROR(LOOKUP(2,1/(([1]العمليات!$B$2:$B$1000=A193)*([1]العمليات!$I$2:$I$1000&lt;&gt;"")),[1]العمليات!$I$2:$I$1000),""))</f>
        <v>3</v>
      </c>
    </row>
    <row r="194" spans="1:5" x14ac:dyDescent="0.35">
      <c r="A194" s="3" t="s">
        <v>166</v>
      </c>
      <c r="B194" s="3" t="s">
        <v>167</v>
      </c>
      <c r="C194" s="4">
        <f>SUMIFS([1]العمليات!G:G, [1]العمليات!B:B, A194, [1]العمليات!C:C, "إدخال") - SUMIFS([1]العمليات!G:G, [1]العمليات!B:B, A194, [1]العمليات!C:C, "إخراج")</f>
        <v>175</v>
      </c>
      <c r="D194" s="3">
        <f>IF(A194="","",IFERROR(LOOKUP(2,1/(([1]العمليات!$B$2:$B$1000=A194)*([1]العمليات!$H$2:$H$1000&lt;&gt;"")),[1]العمليات!$H$2:$H$1000),""))</f>
        <v>3</v>
      </c>
      <c r="E194" s="3">
        <f>IF(A194="","",IFERROR(LOOKUP(2,1/(([1]العمليات!$B$2:$B$1000=A194)*([1]العمليات!$I$2:$I$1000&lt;&gt;"")),[1]العمليات!$I$2:$I$1000),""))</f>
        <v>7</v>
      </c>
    </row>
    <row r="195" spans="1:5" x14ac:dyDescent="0.35">
      <c r="A195" s="5" t="s">
        <v>168</v>
      </c>
      <c r="B195" s="5" t="s">
        <v>169</v>
      </c>
      <c r="C195" s="6">
        <f>SUMIFS([1]العمليات!G:G, [1]العمليات!B:B, A195, [1]العمليات!C:C, "إدخال") - SUMIFS([1]العمليات!G:G, [1]العمليات!B:B, A195, [1]العمليات!C:C, "إخراج")</f>
        <v>176</v>
      </c>
      <c r="D195" s="5">
        <f>IF(A195="","",IFERROR(LOOKUP(2,1/(([1]العمليات!$B$2:$B$1000=A195)*([1]العمليات!$H$2:$H$1000&lt;&gt;"")),[1]العمليات!$H$2:$H$1000),""))</f>
        <v>1</v>
      </c>
      <c r="E195" s="5">
        <f>IF(A195="","",IFERROR(LOOKUP(2,1/(([1]العمليات!$B$2:$B$1000=A195)*([1]العمليات!$I$2:$I$1000&lt;&gt;"")),[1]العمليات!$I$2:$I$1000),""))</f>
        <v>5</v>
      </c>
    </row>
    <row r="196" spans="1:5" x14ac:dyDescent="0.35">
      <c r="A196" s="3" t="s">
        <v>170</v>
      </c>
      <c r="B196" s="3" t="s">
        <v>171</v>
      </c>
      <c r="C196" s="4">
        <f>SUMIFS([1]العمليات!G:G, [1]العمليات!B:B, A196, [1]العمليات!C:C, "إدخال") - SUMIFS([1]العمليات!G:G, [1]العمليات!B:B, A196, [1]العمليات!C:C, "إخراج")</f>
        <v>1404</v>
      </c>
      <c r="D196" s="3">
        <f>IF(A196="","",IFERROR(LOOKUP(2,1/(([1]العمليات!$B$2:$B$1000=A196)*([1]العمليات!$H$2:$H$1000&lt;&gt;"")),[1]العمليات!$H$2:$H$1000),""))</f>
        <v>4</v>
      </c>
      <c r="E196" s="3">
        <f>IF(A196="","",IFERROR(LOOKUP(2,1/(([1]العمليات!$B$2:$B$1000=A196)*([1]العمليات!$I$2:$I$1000&lt;&gt;"")),[1]العمليات!$I$2:$I$1000),""))</f>
        <v>4</v>
      </c>
    </row>
    <row r="197" spans="1:5" x14ac:dyDescent="0.35">
      <c r="A197" s="5" t="s">
        <v>600</v>
      </c>
      <c r="B197" s="5" t="s">
        <v>601</v>
      </c>
      <c r="C197" s="6">
        <f>SUMIFS([1]العمليات!G:G, [1]العمليات!B:B, A197, [1]العمليات!C:C, "إدخال") - SUMIFS([1]العمليات!G:G, [1]العمليات!B:B, A197, [1]العمليات!C:C, "إخراج")</f>
        <v>932</v>
      </c>
      <c r="D197" s="5" t="str">
        <f>IF(A197="","",IFERROR(LOOKUP(2,1/(([1]العمليات!$B$2:$B$1000=A197)*([1]العمليات!$H$2:$H$1000&lt;&gt;"")),[1]العمليات!$H$2:$H$1000),""))</f>
        <v/>
      </c>
      <c r="E197" s="5" t="str">
        <f>IF(A197="","",IFERROR(LOOKUP(2,1/(([1]العمليات!$B$2:$B$1000=A197)*([1]العمليات!$I$2:$I$1000&lt;&gt;"")),[1]العمليات!$I$2:$I$1000),""))</f>
        <v/>
      </c>
    </row>
    <row r="198" spans="1:5" x14ac:dyDescent="0.35">
      <c r="A198" s="3" t="s">
        <v>602</v>
      </c>
      <c r="B198" s="3" t="s">
        <v>603</v>
      </c>
      <c r="C198" s="4">
        <f>SUMIFS([1]العمليات!G:G, [1]العمليات!B:B, A198, [1]العمليات!C:C, "إدخال") - SUMIFS([1]العمليات!G:G, [1]العمليات!B:B, A198, [1]العمليات!C:C, "إخراج")</f>
        <v>0</v>
      </c>
      <c r="D198" s="3" t="str">
        <f>IF(A198="","",IFERROR(LOOKUP(2,1/(([1]العمليات!$B$2:$B$1000=A198)*([1]العمليات!$H$2:$H$1000&lt;&gt;"")),[1]العمليات!$H$2:$H$1000),""))</f>
        <v/>
      </c>
      <c r="E198" s="3" t="str">
        <f>IF(A198="","",IFERROR(LOOKUP(2,1/(([1]العمليات!$B$2:$B$1000=A198)*([1]العمليات!$I$2:$I$1000&lt;&gt;"")),[1]العمليات!$I$2:$I$1000),""))</f>
        <v/>
      </c>
    </row>
    <row r="199" spans="1:5" x14ac:dyDescent="0.35">
      <c r="A199" s="5" t="s">
        <v>172</v>
      </c>
      <c r="B199" s="5" t="s">
        <v>173</v>
      </c>
      <c r="C199" s="6">
        <f>SUMIFS([1]العمليات!G:G, [1]العمليات!B:B, A199, [1]العمليات!C:C, "إدخال") - SUMIFS([1]العمليات!G:G, [1]العمليات!B:B, A199, [1]العمليات!C:C, "إخراج")</f>
        <v>271</v>
      </c>
      <c r="D199" s="5">
        <f>IF(A199="","",IFERROR(LOOKUP(2,1/(([1]العمليات!$B$2:$B$1000=A199)*([1]العمليات!$H$2:$H$1000&lt;&gt;"")),[1]العمليات!$H$2:$H$1000),""))</f>
        <v>3</v>
      </c>
      <c r="E199" s="5">
        <f>IF(A199="","",IFERROR(LOOKUP(2,1/(([1]العمليات!$B$2:$B$1000=A199)*([1]العمليات!$I$2:$I$1000&lt;&gt;"")),[1]العمليات!$I$2:$I$1000),""))</f>
        <v>1</v>
      </c>
    </row>
    <row r="200" spans="1:5" x14ac:dyDescent="0.35">
      <c r="A200" s="3" t="s">
        <v>604</v>
      </c>
      <c r="B200" s="3" t="s">
        <v>605</v>
      </c>
      <c r="C200" s="4">
        <f>SUMIFS([1]العمليات!G:G, [1]العمليات!B:B, A200, [1]العمليات!C:C, "إدخال") - SUMIFS([1]العمليات!G:G, [1]العمليات!B:B, A200, [1]العمليات!C:C, "إخراج")</f>
        <v>1201</v>
      </c>
      <c r="D200" s="3" t="str">
        <f>IF(A200="","",IFERROR(LOOKUP(2,1/(([1]العمليات!$B$2:$B$1000=A200)*([1]العمليات!$H$2:$H$1000&lt;&gt;"")),[1]العمليات!$H$2:$H$1000),""))</f>
        <v/>
      </c>
      <c r="E200" s="3" t="str">
        <f>IF(A200="","",IFERROR(LOOKUP(2,1/(([1]العمليات!$B$2:$B$1000=A200)*([1]العمليات!$I$2:$I$1000&lt;&gt;"")),[1]العمليات!$I$2:$I$1000),""))</f>
        <v/>
      </c>
    </row>
    <row r="201" spans="1:5" x14ac:dyDescent="0.35">
      <c r="A201" s="5" t="s">
        <v>174</v>
      </c>
      <c r="B201" s="5" t="s">
        <v>175</v>
      </c>
      <c r="C201" s="6">
        <f>SUMIFS([1]العمليات!G:G, [1]العمليات!B:B, A201, [1]العمليات!C:C, "إدخال") - SUMIFS([1]العمليات!G:G, [1]العمليات!B:B, A201, [1]العمليات!C:C, "إخراج")</f>
        <v>398</v>
      </c>
      <c r="D201" s="5">
        <f>IF(A201="","",IFERROR(LOOKUP(2,1/(([1]العمليات!$B$2:$B$1000=A201)*([1]العمليات!$H$2:$H$1000&lt;&gt;"")),[1]العمليات!$H$2:$H$1000),""))</f>
        <v>5</v>
      </c>
      <c r="E201" s="5">
        <f>IF(A201="","",IFERROR(LOOKUP(2,1/(([1]العمليات!$B$2:$B$1000=A201)*([1]العمليات!$I$2:$I$1000&lt;&gt;"")),[1]العمليات!$I$2:$I$1000),""))</f>
        <v>3</v>
      </c>
    </row>
    <row r="202" spans="1:5" x14ac:dyDescent="0.35">
      <c r="A202" s="3" t="s">
        <v>176</v>
      </c>
      <c r="B202" s="3" t="s">
        <v>177</v>
      </c>
      <c r="C202" s="4">
        <f>SUMIFS([1]العمليات!G:G, [1]العمليات!B:B, A202, [1]العمليات!C:C, "إدخال") - SUMIFS([1]العمليات!G:G, [1]العمليات!B:B, A202, [1]العمليات!C:C, "إخراج")</f>
        <v>607</v>
      </c>
      <c r="D202" s="3">
        <f>IF(A202="","",IFERROR(LOOKUP(2,1/(([1]العمليات!$B$2:$B$1000=A202)*([1]العمليات!$H$2:$H$1000&lt;&gt;"")),[1]العمليات!$H$2:$H$1000),""))</f>
        <v>2</v>
      </c>
      <c r="E202" s="3">
        <f>IF(A202="","",IFERROR(LOOKUP(2,1/(([1]العمليات!$B$2:$B$1000=A202)*([1]العمليات!$I$2:$I$1000&lt;&gt;"")),[1]العمليات!$I$2:$I$1000),""))</f>
        <v>5</v>
      </c>
    </row>
    <row r="203" spans="1:5" x14ac:dyDescent="0.35">
      <c r="A203" s="5" t="s">
        <v>178</v>
      </c>
      <c r="B203" s="5" t="s">
        <v>179</v>
      </c>
      <c r="C203" s="6">
        <f>SUMIFS([1]العمليات!G:G, [1]العمليات!B:B, A203, [1]العمليات!C:C, "إدخال") - SUMIFS([1]العمليات!G:G, [1]العمليات!B:B, A203, [1]العمليات!C:C, "إخراج")</f>
        <v>517</v>
      </c>
      <c r="D203" s="5">
        <f>IF(A203="","",IFERROR(LOOKUP(2,1/(([1]العمليات!$B$2:$B$1000=A203)*([1]العمليات!$H$2:$H$1000&lt;&gt;"")),[1]العمليات!$H$2:$H$1000),""))</f>
        <v>1</v>
      </c>
      <c r="E203" s="5">
        <f>IF(A203="","",IFERROR(LOOKUP(2,1/(([1]العمليات!$B$2:$B$1000=A203)*([1]العمليات!$I$2:$I$1000&lt;&gt;"")),[1]العمليات!$I$2:$I$1000),""))</f>
        <v>4</v>
      </c>
    </row>
    <row r="204" spans="1:5" x14ac:dyDescent="0.35">
      <c r="A204" s="3" t="s">
        <v>180</v>
      </c>
      <c r="B204" s="3" t="s">
        <v>181</v>
      </c>
      <c r="C204" s="4">
        <f>SUMIFS([1]العمليات!G:G, [1]العمليات!B:B, A204, [1]العمليات!C:C, "إدخال") - SUMIFS([1]العمليات!G:G, [1]العمليات!B:B, A204, [1]العمليات!C:C, "إخراج")</f>
        <v>0</v>
      </c>
      <c r="D204" s="3">
        <f>IF(A204="","",IFERROR(LOOKUP(2,1/(([1]العمليات!$B$2:$B$1000=A204)*([1]العمليات!$H$2:$H$1000&lt;&gt;"")),[1]العمليات!$H$2:$H$1000),""))</f>
        <v>3</v>
      </c>
      <c r="E204" s="3">
        <f>IF(A204="","",IFERROR(LOOKUP(2,1/(([1]العمليات!$B$2:$B$1000=A204)*([1]العمليات!$I$2:$I$1000&lt;&gt;"")),[1]العمليات!$I$2:$I$1000),""))</f>
        <v>7</v>
      </c>
    </row>
    <row r="205" spans="1:5" x14ac:dyDescent="0.35">
      <c r="A205" s="5" t="s">
        <v>606</v>
      </c>
      <c r="B205" s="5" t="s">
        <v>607</v>
      </c>
      <c r="C205" s="6">
        <f>SUMIFS([1]العمليات!G:G, [1]العمليات!B:B, A205, [1]العمليات!C:C, "إدخال") - SUMIFS([1]العمليات!G:G, [1]العمليات!B:B, A205, [1]العمليات!C:C, "إخراج")</f>
        <v>259</v>
      </c>
      <c r="D205" s="5" t="str">
        <f>IF(A205="","",IFERROR(LOOKUP(2,1/(([1]العمليات!$B$2:$B$1000=A205)*([1]العمليات!$H$2:$H$1000&lt;&gt;"")),[1]العمليات!$H$2:$H$1000),""))</f>
        <v/>
      </c>
      <c r="E205" s="5" t="str">
        <f>IF(A205="","",IFERROR(LOOKUP(2,1/(([1]العمليات!$B$2:$B$1000=A205)*([1]العمليات!$I$2:$I$1000&lt;&gt;"")),[1]العمليات!$I$2:$I$1000),""))</f>
        <v/>
      </c>
    </row>
    <row r="206" spans="1:5" x14ac:dyDescent="0.35">
      <c r="A206" s="3" t="s">
        <v>608</v>
      </c>
      <c r="B206" s="3" t="s">
        <v>609</v>
      </c>
      <c r="C206" s="4">
        <f>SUMIFS([1]العمليات!G:G, [1]العمليات!B:B, A206, [1]العمليات!C:C, "إدخال") - SUMIFS([1]العمليات!G:G, [1]العمليات!B:B, A206, [1]العمليات!C:C, "إخراج")</f>
        <v>376</v>
      </c>
      <c r="D206" s="3" t="str">
        <f>IF(A206="","",IFERROR(LOOKUP(2,1/(([1]العمليات!$B$2:$B$1000=A206)*([1]العمليات!$H$2:$H$1000&lt;&gt;"")),[1]العمليات!$H$2:$H$1000),""))</f>
        <v/>
      </c>
      <c r="E206" s="3" t="str">
        <f>IF(A206="","",IFERROR(LOOKUP(2,1/(([1]العمليات!$B$2:$B$1000=A206)*([1]العمليات!$I$2:$I$1000&lt;&gt;"")),[1]العمليات!$I$2:$I$1000),""))</f>
        <v/>
      </c>
    </row>
    <row r="207" spans="1:5" x14ac:dyDescent="0.35">
      <c r="A207" s="5" t="s">
        <v>610</v>
      </c>
      <c r="B207" s="5" t="s">
        <v>611</v>
      </c>
      <c r="C207" s="6">
        <f>SUMIFS([1]العمليات!G:G, [1]العمليات!B:B, A207, [1]العمليات!C:C, "إدخال") - SUMIFS([1]العمليات!G:G, [1]العمليات!B:B, A207, [1]العمليات!C:C, "إخراج")</f>
        <v>1107</v>
      </c>
      <c r="D207" s="5">
        <f>IF(A207="","",IFERROR(LOOKUP(2,1/(([1]العمليات!$B$2:$B$1000=A207)*([1]العمليات!$H$2:$H$1000&lt;&gt;"")),[1]العمليات!$H$2:$H$1000),""))</f>
        <v>5</v>
      </c>
      <c r="E207" s="5">
        <f>IF(A207="","",IFERROR(LOOKUP(2,1/(([1]العمليات!$B$2:$B$1000=A207)*([1]العمليات!$I$2:$I$1000&lt;&gt;"")),[1]العمليات!$I$2:$I$1000),""))</f>
        <v>3</v>
      </c>
    </row>
    <row r="208" spans="1:5" x14ac:dyDescent="0.35">
      <c r="A208" s="3" t="s">
        <v>182</v>
      </c>
      <c r="B208" s="3" t="s">
        <v>183</v>
      </c>
      <c r="C208" s="4">
        <f>SUMIFS([1]العمليات!G:G, [1]العمليات!B:B, A208, [1]العمليات!C:C, "إدخال") - SUMIFS([1]العمليات!G:G, [1]العمليات!B:B, A208, [1]العمليات!C:C, "إخراج")</f>
        <v>385</v>
      </c>
      <c r="D208" s="3">
        <f>IF(A208="","",IFERROR(LOOKUP(2,1/(([1]العمليات!$B$2:$B$1000=A208)*([1]العمليات!$H$2:$H$1000&lt;&gt;"")),[1]العمليات!$H$2:$H$1000),""))</f>
        <v>5</v>
      </c>
      <c r="E208" s="3">
        <f>IF(A208="","",IFERROR(LOOKUP(2,1/(([1]العمليات!$B$2:$B$1000=A208)*([1]العمليات!$I$2:$I$1000&lt;&gt;"")),[1]العمليات!$I$2:$I$1000),""))</f>
        <v>6</v>
      </c>
    </row>
    <row r="209" spans="1:5" x14ac:dyDescent="0.35">
      <c r="A209" s="5" t="s">
        <v>184</v>
      </c>
      <c r="B209" s="5" t="s">
        <v>185</v>
      </c>
      <c r="C209" s="6">
        <f>SUMIFS([1]العمليات!G:G, [1]العمليات!B:B, A209, [1]العمليات!C:C, "إدخال") - SUMIFS([1]العمليات!G:G, [1]العمليات!B:B, A209, [1]العمليات!C:C, "إخراج")</f>
        <v>964</v>
      </c>
      <c r="D209" s="5">
        <f>IF(A209="","",IFERROR(LOOKUP(2,1/(([1]العمليات!$B$2:$B$1000=A209)*([1]العمليات!$H$2:$H$1000&lt;&gt;"")),[1]العمليات!$H$2:$H$1000),""))</f>
        <v>3</v>
      </c>
      <c r="E209" s="5" t="str">
        <f>IF(A209="","",IFERROR(LOOKUP(2,1/(([1]العمليات!$B$2:$B$1000=A209)*([1]العمليات!$I$2:$I$1000&lt;&gt;"")),[1]العمليات!$I$2:$I$1000),""))</f>
        <v>2ط2</v>
      </c>
    </row>
    <row r="210" spans="1:5" x14ac:dyDescent="0.35">
      <c r="A210" s="3" t="s">
        <v>612</v>
      </c>
      <c r="B210" s="3" t="s">
        <v>613</v>
      </c>
      <c r="C210" s="4">
        <f>SUMIFS([1]العمليات!G:G, [1]العمليات!B:B, A210, [1]العمليات!C:C, "إدخال") - SUMIFS([1]العمليات!G:G, [1]العمليات!B:B, A210, [1]العمليات!C:C, "إخراج")</f>
        <v>707</v>
      </c>
      <c r="D210" s="3" t="str">
        <f>IF(A210="","",IFERROR(LOOKUP(2,1/(([1]العمليات!$B$2:$B$1000=A210)*([1]العمليات!$H$2:$H$1000&lt;&gt;"")),[1]العمليات!$H$2:$H$1000),""))</f>
        <v/>
      </c>
      <c r="E210" s="3" t="str">
        <f>IF(A210="","",IFERROR(LOOKUP(2,1/(([1]العمليات!$B$2:$B$1000=A210)*([1]العمليات!$I$2:$I$1000&lt;&gt;"")),[1]العمليات!$I$2:$I$1000),""))</f>
        <v/>
      </c>
    </row>
    <row r="211" spans="1:5" x14ac:dyDescent="0.35">
      <c r="A211" s="5" t="s">
        <v>614</v>
      </c>
      <c r="B211" s="5" t="s">
        <v>615</v>
      </c>
      <c r="C211" s="6">
        <f>SUMIFS([1]العمليات!G:G, [1]العمليات!B:B, A211, [1]العمليات!C:C, "إدخال") - SUMIFS([1]العمليات!G:G, [1]العمليات!B:B, A211, [1]العمليات!C:C, "إخراج")</f>
        <v>240</v>
      </c>
      <c r="D211" s="5" t="str">
        <f>IF(A211="","",IFERROR(LOOKUP(2,1/(([1]العمليات!$B$2:$B$1000=A211)*([1]العمليات!$H$2:$H$1000&lt;&gt;"")),[1]العمليات!$H$2:$H$1000),""))</f>
        <v/>
      </c>
      <c r="E211" s="5" t="str">
        <f>IF(A211="","",IFERROR(LOOKUP(2,1/(([1]العمليات!$B$2:$B$1000=A211)*([1]العمليات!$I$2:$I$1000&lt;&gt;"")),[1]العمليات!$I$2:$I$1000),""))</f>
        <v/>
      </c>
    </row>
    <row r="212" spans="1:5" x14ac:dyDescent="0.35">
      <c r="A212" s="3" t="s">
        <v>186</v>
      </c>
      <c r="B212" s="3" t="s">
        <v>187</v>
      </c>
      <c r="C212" s="4">
        <f>SUMIFS([1]العمليات!G:G, [1]العمليات!B:B, A212, [1]العمليات!C:C, "إدخال") - SUMIFS([1]العمليات!G:G, [1]العمليات!B:B, A212, [1]العمليات!C:C, "إخراج")</f>
        <v>414</v>
      </c>
      <c r="D212" s="3">
        <f>IF(A212="","",IFERROR(LOOKUP(2,1/(([1]العمليات!$B$2:$B$1000=A212)*([1]العمليات!$H$2:$H$1000&lt;&gt;"")),[1]العمليات!$H$2:$H$1000),""))</f>
        <v>3</v>
      </c>
      <c r="E212" s="3" t="str">
        <f>IF(A212="","",IFERROR(LOOKUP(2,1/(([1]العمليات!$B$2:$B$1000=A212)*([1]العمليات!$I$2:$I$1000&lt;&gt;"")),[1]العمليات!$I$2:$I$1000),""))</f>
        <v>2ط2</v>
      </c>
    </row>
    <row r="213" spans="1:5" x14ac:dyDescent="0.35">
      <c r="A213" s="5" t="s">
        <v>616</v>
      </c>
      <c r="B213" s="5" t="s">
        <v>617</v>
      </c>
      <c r="C213" s="6">
        <f>SUMIFS([1]العمليات!G:G, [1]العمليات!B:B, A213, [1]العمليات!C:C, "إدخال") - SUMIFS([1]العمليات!G:G, [1]العمليات!B:B, A213, [1]العمليات!C:C, "إخراج")</f>
        <v>1062</v>
      </c>
      <c r="D213" s="5" t="str">
        <f>IF(A213="","",IFERROR(LOOKUP(2,1/(([1]العمليات!$B$2:$B$1000=A213)*([1]العمليات!$H$2:$H$1000&lt;&gt;"")),[1]العمليات!$H$2:$H$1000),""))</f>
        <v/>
      </c>
      <c r="E213" s="5" t="str">
        <f>IF(A213="","",IFERROR(LOOKUP(2,1/(([1]العمليات!$B$2:$B$1000=A213)*([1]العمليات!$I$2:$I$1000&lt;&gt;"")),[1]العمليات!$I$2:$I$1000),""))</f>
        <v/>
      </c>
    </row>
    <row r="214" spans="1:5" x14ac:dyDescent="0.35">
      <c r="A214" s="3" t="s">
        <v>618</v>
      </c>
      <c r="B214" s="3" t="s">
        <v>619</v>
      </c>
      <c r="C214" s="4">
        <f>SUMIFS([1]العمليات!G:G, [1]العمليات!B:B, A214, [1]العمليات!C:C, "إدخال") - SUMIFS([1]العمليات!G:G, [1]العمليات!B:B, A214, [1]العمليات!C:C, "إخراج")</f>
        <v>0</v>
      </c>
      <c r="D214" s="3" t="str">
        <f>IF(A214="","",IFERROR(LOOKUP(2,1/(([1]العمليات!$B$2:$B$1000=A214)*([1]العمليات!$H$2:$H$1000&lt;&gt;"")),[1]العمليات!$H$2:$H$1000),""))</f>
        <v/>
      </c>
      <c r="E214" s="3" t="str">
        <f>IF(A214="","",IFERROR(LOOKUP(2,1/(([1]العمليات!$B$2:$B$1000=A214)*([1]العمليات!$I$2:$I$1000&lt;&gt;"")),[1]العمليات!$I$2:$I$1000),""))</f>
        <v/>
      </c>
    </row>
    <row r="215" spans="1:5" x14ac:dyDescent="0.35">
      <c r="A215" s="5" t="s">
        <v>188</v>
      </c>
      <c r="B215" s="5" t="s">
        <v>189</v>
      </c>
      <c r="C215" s="6">
        <f>SUMIFS([1]العمليات!G:G, [1]العمليات!B:B, A215, [1]العمليات!C:C, "إدخال") - SUMIFS([1]العمليات!G:G, [1]العمليات!B:B, A215, [1]العمليات!C:C, "إخراج")</f>
        <v>652</v>
      </c>
      <c r="D215" s="5">
        <f>IF(A215="","",IFERROR(LOOKUP(2,1/(([1]العمليات!$B$2:$B$1000=A215)*([1]العمليات!$H$2:$H$1000&lt;&gt;"")),[1]العمليات!$H$2:$H$1000),""))</f>
        <v>5</v>
      </c>
      <c r="E215" s="5">
        <f>IF(A215="","",IFERROR(LOOKUP(2,1/(([1]العمليات!$B$2:$B$1000=A215)*([1]العمليات!$I$2:$I$1000&lt;&gt;"")),[1]العمليات!$I$2:$I$1000),""))</f>
        <v>2</v>
      </c>
    </row>
    <row r="216" spans="1:5" x14ac:dyDescent="0.35">
      <c r="A216" s="3" t="s">
        <v>620</v>
      </c>
      <c r="B216" s="3" t="s">
        <v>621</v>
      </c>
      <c r="C216" s="4">
        <f>SUMIFS([1]العمليات!G:G, [1]العمليات!B:B, A216, [1]العمليات!C:C, "إدخال") - SUMIFS([1]العمليات!G:G, [1]العمليات!B:B, A216, [1]العمليات!C:C, "إخراج")</f>
        <v>31</v>
      </c>
      <c r="D216" s="3" t="str">
        <f>IF(A216="","",IFERROR(LOOKUP(2,1/(([1]العمليات!$B$2:$B$1000=A216)*([1]العمليات!$H$2:$H$1000&lt;&gt;"")),[1]العمليات!$H$2:$H$1000),""))</f>
        <v/>
      </c>
      <c r="E216" s="3" t="str">
        <f>IF(A216="","",IFERROR(LOOKUP(2,1/(([1]العمليات!$B$2:$B$1000=A216)*([1]العمليات!$I$2:$I$1000&lt;&gt;"")),[1]العمليات!$I$2:$I$1000),""))</f>
        <v/>
      </c>
    </row>
    <row r="217" spans="1:5" x14ac:dyDescent="0.35">
      <c r="A217" s="5" t="s">
        <v>622</v>
      </c>
      <c r="B217" s="5" t="s">
        <v>623</v>
      </c>
      <c r="C217" s="6">
        <f>SUMIFS([1]العمليات!G:G, [1]العمليات!B:B, A217, [1]العمليات!C:C, "إدخال") - SUMIFS([1]العمليات!G:G, [1]العمليات!B:B, A217, [1]العمليات!C:C, "إخراج")</f>
        <v>472</v>
      </c>
      <c r="D217" s="5" t="str">
        <f>IF(A217="","",IFERROR(LOOKUP(2,1/(([1]العمليات!$B$2:$B$1000=A217)*([1]العمليات!$H$2:$H$1000&lt;&gt;"")),[1]العمليات!$H$2:$H$1000),""))</f>
        <v/>
      </c>
      <c r="E217" s="5" t="str">
        <f>IF(A217="","",IFERROR(LOOKUP(2,1/(([1]العمليات!$B$2:$B$1000=A217)*([1]العمليات!$I$2:$I$1000&lt;&gt;"")),[1]العمليات!$I$2:$I$1000),""))</f>
        <v/>
      </c>
    </row>
    <row r="218" spans="1:5" x14ac:dyDescent="0.35">
      <c r="A218" s="3" t="s">
        <v>190</v>
      </c>
      <c r="B218" s="3" t="s">
        <v>191</v>
      </c>
      <c r="C218" s="4">
        <f>SUMIFS([1]العمليات!G:G, [1]العمليات!B:B, A218, [1]العمليات!C:C, "إدخال") - SUMIFS([1]العمليات!G:G, [1]العمليات!B:B, A218, [1]العمليات!C:C, "إخراج")</f>
        <v>269</v>
      </c>
      <c r="D218" s="3">
        <f>IF(A218="","",IFERROR(LOOKUP(2,1/(([1]العمليات!$B$2:$B$1000=A218)*([1]العمليات!$H$2:$H$1000&lt;&gt;"")),[1]العمليات!$H$2:$H$1000),""))</f>
        <v>3</v>
      </c>
      <c r="E218" s="3">
        <f>IF(A218="","",IFERROR(LOOKUP(2,1/(([1]العمليات!$B$2:$B$1000=A218)*([1]العمليات!$I$2:$I$1000&lt;&gt;"")),[1]العمليات!$I$2:$I$1000),""))</f>
        <v>4</v>
      </c>
    </row>
    <row r="219" spans="1:5" x14ac:dyDescent="0.35">
      <c r="A219" s="5" t="s">
        <v>192</v>
      </c>
      <c r="B219" s="5" t="s">
        <v>193</v>
      </c>
      <c r="C219" s="6">
        <f>SUMIFS([1]العمليات!G:G, [1]العمليات!B:B, A219, [1]العمليات!C:C, "إدخال") - SUMIFS([1]العمليات!G:G, [1]العمليات!B:B, A219, [1]العمليات!C:C, "إخراج")</f>
        <v>424</v>
      </c>
      <c r="D219" s="5">
        <f>IF(A219="","",IFERROR(LOOKUP(2,1/(([1]العمليات!$B$2:$B$1000=A219)*([1]العمليات!$H$2:$H$1000&lt;&gt;"")),[1]العمليات!$H$2:$H$1000),""))</f>
        <v>5</v>
      </c>
      <c r="E219" s="5">
        <f>IF(A219="","",IFERROR(LOOKUP(2,1/(([1]العمليات!$B$2:$B$1000=A219)*([1]العمليات!$I$2:$I$1000&lt;&gt;"")),[1]العمليات!$I$2:$I$1000),""))</f>
        <v>4</v>
      </c>
    </row>
    <row r="220" spans="1:5" x14ac:dyDescent="0.35">
      <c r="A220" s="3" t="s">
        <v>194</v>
      </c>
      <c r="B220" s="3" t="s">
        <v>195</v>
      </c>
      <c r="C220" s="4">
        <f>SUMIFS([1]العمليات!G:G, [1]العمليات!B:B, A220, [1]العمليات!C:C, "إدخال") - SUMIFS([1]العمليات!G:G, [1]العمليات!B:B, A220, [1]العمليات!C:C, "إخراج")</f>
        <v>95</v>
      </c>
      <c r="D220" s="3">
        <f>IF(A220="","",IFERROR(LOOKUP(2,1/(([1]العمليات!$B$2:$B$1000=A220)*([1]العمليات!$H$2:$H$1000&lt;&gt;"")),[1]العمليات!$H$2:$H$1000),""))</f>
        <v>5</v>
      </c>
      <c r="E220" s="3">
        <f>IF(A220="","",IFERROR(LOOKUP(2,1/(([1]العمليات!$B$2:$B$1000=A220)*([1]العمليات!$I$2:$I$1000&lt;&gt;"")),[1]العمليات!$I$2:$I$1000),""))</f>
        <v>2</v>
      </c>
    </row>
    <row r="221" spans="1:5" x14ac:dyDescent="0.35">
      <c r="A221" s="5" t="s">
        <v>624</v>
      </c>
      <c r="B221" s="5" t="s">
        <v>625</v>
      </c>
      <c r="C221" s="6">
        <f>SUMIFS([1]العمليات!G:G, [1]العمليات!B:B, A221, [1]العمليات!C:C, "إدخال") - SUMIFS([1]العمليات!G:G, [1]العمليات!B:B, A221, [1]العمليات!C:C, "إخراج")</f>
        <v>218</v>
      </c>
      <c r="D221" s="5" t="str">
        <f>IF(A221="","",IFERROR(LOOKUP(2,1/(([1]العمليات!$B$2:$B$1000=A221)*([1]العمليات!$H$2:$H$1000&lt;&gt;"")),[1]العمليات!$H$2:$H$1000),""))</f>
        <v/>
      </c>
      <c r="E221" s="5" t="str">
        <f>IF(A221="","",IFERROR(LOOKUP(2,1/(([1]العمليات!$B$2:$B$1000=A221)*([1]العمليات!$I$2:$I$1000&lt;&gt;"")),[1]العمليات!$I$2:$I$1000),""))</f>
        <v/>
      </c>
    </row>
    <row r="222" spans="1:5" x14ac:dyDescent="0.35">
      <c r="A222" s="3" t="s">
        <v>626</v>
      </c>
      <c r="B222" s="3" t="s">
        <v>627</v>
      </c>
      <c r="C222" s="4">
        <f>SUMIFS([1]العمليات!G:G, [1]العمليات!B:B, A222, [1]العمليات!C:C, "إدخال") - SUMIFS([1]العمليات!G:G, [1]العمليات!B:B, A222, [1]العمليات!C:C, "إخراج")</f>
        <v>464</v>
      </c>
      <c r="D222" s="3">
        <f>IF(A222="","",IFERROR(LOOKUP(2,1/(([1]العمليات!$B$2:$B$1000=A222)*([1]العمليات!$H$2:$H$1000&lt;&gt;"")),[1]العمليات!$H$2:$H$1000),""))</f>
        <v>4</v>
      </c>
      <c r="E222" s="3">
        <f>IF(A222="","",IFERROR(LOOKUP(2,1/(([1]العمليات!$B$2:$B$1000=A222)*([1]العمليات!$I$2:$I$1000&lt;&gt;"")),[1]العمليات!$I$2:$I$1000),""))</f>
        <v>2</v>
      </c>
    </row>
    <row r="223" spans="1:5" x14ac:dyDescent="0.35">
      <c r="A223" s="5" t="s">
        <v>628</v>
      </c>
      <c r="B223" s="5" t="s">
        <v>629</v>
      </c>
      <c r="C223" s="6">
        <f>SUMIFS([1]العمليات!G:G, [1]العمليات!B:B, A223, [1]العمليات!C:C, "إدخال") - SUMIFS([1]العمليات!G:G, [1]العمليات!B:B, A223, [1]العمليات!C:C, "إخراج")</f>
        <v>1538</v>
      </c>
      <c r="D223" s="5" t="str">
        <f>IF(A223="","",IFERROR(LOOKUP(2,1/(([1]العمليات!$B$2:$B$1000=A223)*([1]العمليات!$H$2:$H$1000&lt;&gt;"")),[1]العمليات!$H$2:$H$1000),""))</f>
        <v/>
      </c>
      <c r="E223" s="5" t="str">
        <f>IF(A223="","",IFERROR(LOOKUP(2,1/(([1]العمليات!$B$2:$B$1000=A223)*([1]العمليات!$I$2:$I$1000&lt;&gt;"")),[1]العمليات!$I$2:$I$1000),""))</f>
        <v/>
      </c>
    </row>
    <row r="224" spans="1:5" x14ac:dyDescent="0.35">
      <c r="A224" s="3" t="s">
        <v>630</v>
      </c>
      <c r="B224" s="3" t="s">
        <v>631</v>
      </c>
      <c r="C224" s="4">
        <f>SUMIFS([1]العمليات!G:G, [1]العمليات!B:B, A224, [1]العمليات!C:C, "إدخال") - SUMIFS([1]العمليات!G:G, [1]العمليات!B:B, A224, [1]العمليات!C:C, "إخراج")</f>
        <v>520</v>
      </c>
      <c r="D224" s="3" t="str">
        <f>IF(A224="","",IFERROR(LOOKUP(2,1/(([1]العمليات!$B$2:$B$1000=A224)*([1]العمليات!$H$2:$H$1000&lt;&gt;"")),[1]العمليات!$H$2:$H$1000),""))</f>
        <v/>
      </c>
      <c r="E224" s="3" t="str">
        <f>IF(A224="","",IFERROR(LOOKUP(2,1/(([1]العمليات!$B$2:$B$1000=A224)*([1]العمليات!$I$2:$I$1000&lt;&gt;"")),[1]العمليات!$I$2:$I$1000),""))</f>
        <v/>
      </c>
    </row>
    <row r="225" spans="1:5" x14ac:dyDescent="0.35">
      <c r="A225" s="5" t="s">
        <v>632</v>
      </c>
      <c r="B225" s="5" t="s">
        <v>633</v>
      </c>
      <c r="C225" s="6">
        <f>SUMIFS([1]العمليات!G:G, [1]العمليات!B:B, A225, [1]العمليات!C:C, "إدخال") - SUMIFS([1]العمليات!G:G, [1]العمليات!B:B, A225, [1]العمليات!C:C, "إخراج")</f>
        <v>457</v>
      </c>
      <c r="D225" s="5" t="str">
        <f>IF(A225="","",IFERROR(LOOKUP(2,1/(([1]العمليات!$B$2:$B$1000=A225)*([1]العمليات!$H$2:$H$1000&lt;&gt;"")),[1]العمليات!$H$2:$H$1000),""))</f>
        <v/>
      </c>
      <c r="E225" s="5" t="str">
        <f>IF(A225="","",IFERROR(LOOKUP(2,1/(([1]العمليات!$B$2:$B$1000=A225)*([1]العمليات!$I$2:$I$1000&lt;&gt;"")),[1]العمليات!$I$2:$I$1000),""))</f>
        <v/>
      </c>
    </row>
    <row r="226" spans="1:5" x14ac:dyDescent="0.35">
      <c r="A226" s="3" t="s">
        <v>196</v>
      </c>
      <c r="B226" s="3" t="s">
        <v>197</v>
      </c>
      <c r="C226" s="4">
        <f>SUMIFS([1]العمليات!G:G, [1]العمليات!B:B, A226, [1]العمليات!C:C, "إدخال") - SUMIFS([1]العمليات!G:G, [1]العمليات!B:B, A226, [1]العمليات!C:C, "إخراج")</f>
        <v>786</v>
      </c>
      <c r="D226" s="3">
        <f>IF(A226="","",IFERROR(LOOKUP(2,1/(([1]العمليات!$B$2:$B$1000=A226)*([1]العمليات!$H$2:$H$1000&lt;&gt;"")),[1]العمليات!$H$2:$H$1000),""))</f>
        <v>3</v>
      </c>
      <c r="E226" s="3">
        <f>IF(A226="","",IFERROR(LOOKUP(2,1/(([1]العمليات!$B$2:$B$1000=A226)*([1]العمليات!$I$2:$I$1000&lt;&gt;"")),[1]العمليات!$I$2:$I$1000),""))</f>
        <v>5</v>
      </c>
    </row>
    <row r="227" spans="1:5" x14ac:dyDescent="0.35">
      <c r="A227" s="5" t="s">
        <v>198</v>
      </c>
      <c r="B227" s="5" t="s">
        <v>199</v>
      </c>
      <c r="C227" s="6">
        <f>SUMIFS([1]العمليات!G:G, [1]العمليات!B:B, A227, [1]العمليات!C:C, "إدخال") - SUMIFS([1]العمليات!G:G, [1]العمليات!B:B, A227, [1]العمليات!C:C, "إخراج")</f>
        <v>2530</v>
      </c>
      <c r="D227" s="5">
        <f>IF(A227="","",IFERROR(LOOKUP(2,1/(([1]العمليات!$B$2:$B$1000=A227)*([1]العمليات!$H$2:$H$1000&lt;&gt;"")),[1]العمليات!$H$2:$H$1000),""))</f>
        <v>1</v>
      </c>
      <c r="E227" s="5">
        <f>IF(A227="","",IFERROR(LOOKUP(2,1/(([1]العمليات!$B$2:$B$1000=A227)*([1]العمليات!$I$2:$I$1000&lt;&gt;"")),[1]العمليات!$I$2:$I$1000),""))</f>
        <v>5</v>
      </c>
    </row>
    <row r="228" spans="1:5" x14ac:dyDescent="0.35">
      <c r="A228" s="3" t="s">
        <v>634</v>
      </c>
      <c r="B228" s="3" t="s">
        <v>635</v>
      </c>
      <c r="C228" s="4">
        <f>SUMIFS([1]العمليات!G:G, [1]العمليات!B:B, A228, [1]العمليات!C:C, "إدخال") - SUMIFS([1]العمليات!G:G, [1]العمليات!B:B, A228, [1]العمليات!C:C, "إخراج")</f>
        <v>277</v>
      </c>
      <c r="D228" s="3" t="str">
        <f>IF(A228="","",IFERROR(LOOKUP(2,1/(([1]العمليات!$B$2:$B$1000=A228)*([1]العمليات!$H$2:$H$1000&lt;&gt;"")),[1]العمليات!$H$2:$H$1000),""))</f>
        <v/>
      </c>
      <c r="E228" s="3" t="str">
        <f>IF(A228="","",IFERROR(LOOKUP(2,1/(([1]العمليات!$B$2:$B$1000=A228)*([1]العمليات!$I$2:$I$1000&lt;&gt;"")),[1]العمليات!$I$2:$I$1000),""))</f>
        <v/>
      </c>
    </row>
    <row r="229" spans="1:5" x14ac:dyDescent="0.35">
      <c r="A229" s="5" t="s">
        <v>200</v>
      </c>
      <c r="B229" s="5" t="s">
        <v>201</v>
      </c>
      <c r="C229" s="6">
        <f>SUMIFS([1]العمليات!G:G, [1]العمليات!B:B, A229, [1]العمليات!C:C, "إدخال") - SUMIFS([1]العمليات!G:G, [1]العمليات!B:B, A229, [1]العمليات!C:C, "إخراج")</f>
        <v>2922</v>
      </c>
      <c r="D229" s="5">
        <f>IF(A229="","",IFERROR(LOOKUP(2,1/(([1]العمليات!$B$2:$B$1000=A229)*([1]العمليات!$H$2:$H$1000&lt;&gt;"")),[1]العمليات!$H$2:$H$1000),""))</f>
        <v>4</v>
      </c>
      <c r="E229" s="5">
        <f>IF(A229="","",IFERROR(LOOKUP(2,1/(([1]العمليات!$B$2:$B$1000=A229)*([1]العمليات!$I$2:$I$1000&lt;&gt;"")),[1]العمليات!$I$2:$I$1000),""))</f>
        <v>2</v>
      </c>
    </row>
    <row r="230" spans="1:5" x14ac:dyDescent="0.35">
      <c r="A230" s="3" t="s">
        <v>202</v>
      </c>
      <c r="B230" s="3" t="s">
        <v>203</v>
      </c>
      <c r="C230" s="4">
        <f>SUMIFS([1]العمليات!G:G, [1]العمليات!B:B, A230, [1]العمليات!C:C, "إدخال") - SUMIFS([1]العمليات!G:G, [1]العمليات!B:B, A230, [1]العمليات!C:C, "إخراج")</f>
        <v>1444</v>
      </c>
      <c r="D230" s="3">
        <f>IF(A230="","",IFERROR(LOOKUP(2,1/(([1]العمليات!$B$2:$B$1000=A230)*([1]العمليات!$H$2:$H$1000&lt;&gt;"")),[1]العمليات!$H$2:$H$1000),""))</f>
        <v>2</v>
      </c>
      <c r="E230" s="3">
        <f>IF(A230="","",IFERROR(LOOKUP(2,1/(([1]العمليات!$B$2:$B$1000=A230)*([1]العمليات!$I$2:$I$1000&lt;&gt;"")),[1]العمليات!$I$2:$I$1000),""))</f>
        <v>4</v>
      </c>
    </row>
    <row r="231" spans="1:5" x14ac:dyDescent="0.35">
      <c r="A231" s="5" t="s">
        <v>636</v>
      </c>
      <c r="B231" s="5" t="s">
        <v>637</v>
      </c>
      <c r="C231" s="6">
        <f>SUMIFS([1]العمليات!G:G, [1]العمليات!B:B, A231, [1]العمليات!C:C, "إدخال") - SUMIFS([1]العمليات!G:G, [1]العمليات!B:B, A231, [1]العمليات!C:C, "إخراج")</f>
        <v>1603</v>
      </c>
      <c r="D231" s="5" t="str">
        <f>IF(A231="","",IFERROR(LOOKUP(2,1/(([1]العمليات!$B$2:$B$1000=A231)*([1]العمليات!$H$2:$H$1000&lt;&gt;"")),[1]العمليات!$H$2:$H$1000),""))</f>
        <v/>
      </c>
      <c r="E231" s="5" t="str">
        <f>IF(A231="","",IFERROR(LOOKUP(2,1/(([1]العمليات!$B$2:$B$1000=A231)*([1]العمليات!$I$2:$I$1000&lt;&gt;"")),[1]العمليات!$I$2:$I$1000),""))</f>
        <v/>
      </c>
    </row>
    <row r="232" spans="1:5" x14ac:dyDescent="0.35">
      <c r="A232" s="3" t="s">
        <v>638</v>
      </c>
      <c r="B232" s="3" t="s">
        <v>639</v>
      </c>
      <c r="C232" s="4">
        <f>SUMIFS([1]العمليات!G:G, [1]العمليات!B:B, A232, [1]العمليات!C:C, "إدخال") - SUMIFS([1]العمليات!G:G, [1]العمليات!B:B, A232, [1]العمليات!C:C, "إخراج")</f>
        <v>147</v>
      </c>
      <c r="D232" s="3" t="str">
        <f>IF(A232="","",IFERROR(LOOKUP(2,1/(([1]العمليات!$B$2:$B$1000=A232)*([1]العمليات!$H$2:$H$1000&lt;&gt;"")),[1]العمليات!$H$2:$H$1000),""))</f>
        <v/>
      </c>
      <c r="E232" s="3" t="str">
        <f>IF(A232="","",IFERROR(LOOKUP(2,1/(([1]العمليات!$B$2:$B$1000=A232)*([1]العمليات!$I$2:$I$1000&lt;&gt;"")),[1]العمليات!$I$2:$I$1000),""))</f>
        <v/>
      </c>
    </row>
    <row r="233" spans="1:5" x14ac:dyDescent="0.35">
      <c r="A233" s="5" t="s">
        <v>640</v>
      </c>
      <c r="B233" s="5" t="s">
        <v>641</v>
      </c>
      <c r="C233" s="6">
        <f>SUMIFS([1]العمليات!G:G, [1]العمليات!B:B, A233, [1]العمليات!C:C, "إدخال") - SUMIFS([1]العمليات!G:G, [1]العمليات!B:B, A233, [1]العمليات!C:C, "إخراج")</f>
        <v>790</v>
      </c>
      <c r="D233" s="5" t="str">
        <f>IF(A233="","",IFERROR(LOOKUP(2,1/(([1]العمليات!$B$2:$B$1000=A233)*([1]العمليات!$H$2:$H$1000&lt;&gt;"")),[1]العمليات!$H$2:$H$1000),""))</f>
        <v/>
      </c>
      <c r="E233" s="5" t="str">
        <f>IF(A233="","",IFERROR(LOOKUP(2,1/(([1]العمليات!$B$2:$B$1000=A233)*([1]العمليات!$I$2:$I$1000&lt;&gt;"")),[1]العمليات!$I$2:$I$1000),""))</f>
        <v/>
      </c>
    </row>
    <row r="234" spans="1:5" x14ac:dyDescent="0.35">
      <c r="A234" s="3" t="s">
        <v>204</v>
      </c>
      <c r="B234" s="3" t="s">
        <v>205</v>
      </c>
      <c r="C234" s="4">
        <f>SUMIFS([1]العمليات!G:G, [1]العمليات!B:B, A234, [1]العمليات!C:C, "إدخال") - SUMIFS([1]العمليات!G:G, [1]العمليات!B:B, A234, [1]العمليات!C:C, "إخراج")</f>
        <v>1362</v>
      </c>
      <c r="D234" s="3">
        <f>IF(A234="","",IFERROR(LOOKUP(2,1/(([1]العمليات!$B$2:$B$1000=A234)*([1]العمليات!$H$2:$H$1000&lt;&gt;"")),[1]العمليات!$H$2:$H$1000),""))</f>
        <v>2</v>
      </c>
      <c r="E234" s="3">
        <f>IF(A234="","",IFERROR(LOOKUP(2,1/(([1]العمليات!$B$2:$B$1000=A234)*([1]العمليات!$I$2:$I$1000&lt;&gt;"")),[1]العمليات!$I$2:$I$1000),""))</f>
        <v>3</v>
      </c>
    </row>
    <row r="235" spans="1:5" x14ac:dyDescent="0.35">
      <c r="A235" s="5" t="s">
        <v>206</v>
      </c>
      <c r="B235" s="5" t="s">
        <v>207</v>
      </c>
      <c r="C235" s="6">
        <f>SUMIFS([1]العمليات!G:G, [1]العمليات!B:B, A235, [1]العمليات!C:C, "إدخال") - SUMIFS([1]العمليات!G:G, [1]العمليات!B:B, A235, [1]العمليات!C:C, "إخراج")</f>
        <v>491</v>
      </c>
      <c r="D235" s="5">
        <f>IF(A235="","",IFERROR(LOOKUP(2,1/(([1]العمليات!$B$2:$B$1000=A235)*([1]العمليات!$H$2:$H$1000&lt;&gt;"")),[1]العمليات!$H$2:$H$1000),""))</f>
        <v>3</v>
      </c>
      <c r="E235" s="5">
        <f>IF(A235="","",IFERROR(LOOKUP(2,1/(([1]العمليات!$B$2:$B$1000=A235)*([1]العمليات!$I$2:$I$1000&lt;&gt;"")),[1]العمليات!$I$2:$I$1000),""))</f>
        <v>6</v>
      </c>
    </row>
    <row r="236" spans="1:5" x14ac:dyDescent="0.35">
      <c r="A236" s="3" t="s">
        <v>642</v>
      </c>
      <c r="B236" s="3" t="s">
        <v>643</v>
      </c>
      <c r="C236" s="4">
        <f>SUMIFS([1]العمليات!G:G, [1]العمليات!B:B, A236, [1]العمليات!C:C, "إدخال") - SUMIFS([1]العمليات!G:G, [1]العمليات!B:B, A236, [1]العمليات!C:C, "إخراج")</f>
        <v>0</v>
      </c>
      <c r="D236" s="3" t="str">
        <f>IF(A236="","",IFERROR(LOOKUP(2,1/(([1]العمليات!$B$2:$B$1000=A236)*([1]العمليات!$H$2:$H$1000&lt;&gt;"")),[1]العمليات!$H$2:$H$1000),""))</f>
        <v/>
      </c>
      <c r="E236" s="3" t="str">
        <f>IF(A236="","",IFERROR(LOOKUP(2,1/(([1]العمليات!$B$2:$B$1000=A236)*([1]العمليات!$I$2:$I$1000&lt;&gt;"")),[1]العمليات!$I$2:$I$1000),""))</f>
        <v/>
      </c>
    </row>
    <row r="237" spans="1:5" x14ac:dyDescent="0.35">
      <c r="A237" s="5" t="s">
        <v>644</v>
      </c>
      <c r="B237" s="5" t="s">
        <v>645</v>
      </c>
      <c r="C237" s="6">
        <f>SUMIFS([1]العمليات!G:G, [1]العمليات!B:B, A237, [1]العمليات!C:C, "إدخال") - SUMIFS([1]العمليات!G:G, [1]العمليات!B:B, A237, [1]العمليات!C:C, "إخراج")</f>
        <v>75</v>
      </c>
      <c r="D237" s="5" t="str">
        <f>IF(A237="","",IFERROR(LOOKUP(2,1/(([1]العمليات!$B$2:$B$1000=A237)*([1]العمليات!$H$2:$H$1000&lt;&gt;"")),[1]العمليات!$H$2:$H$1000),""))</f>
        <v/>
      </c>
      <c r="E237" s="5" t="str">
        <f>IF(A237="","",IFERROR(LOOKUP(2,1/(([1]العمليات!$B$2:$B$1000=A237)*([1]العمليات!$I$2:$I$1000&lt;&gt;"")),[1]العمليات!$I$2:$I$1000),""))</f>
        <v/>
      </c>
    </row>
    <row r="238" spans="1:5" x14ac:dyDescent="0.35">
      <c r="A238" s="3" t="s">
        <v>208</v>
      </c>
      <c r="B238" s="3" t="s">
        <v>209</v>
      </c>
      <c r="C238" s="4">
        <f>SUMIFS([1]العمليات!G:G, [1]العمليات!B:B, A238, [1]العمليات!C:C, "إدخال") - SUMIFS([1]العمليات!G:G, [1]العمليات!B:B, A238, [1]العمليات!C:C, "إخراج")</f>
        <v>419</v>
      </c>
      <c r="D238" s="3">
        <f>IF(A238="","",IFERROR(LOOKUP(2,1/(([1]العمليات!$B$2:$B$1000=A238)*([1]العمليات!$H$2:$H$1000&lt;&gt;"")),[1]العمليات!$H$2:$H$1000),""))</f>
        <v>1</v>
      </c>
      <c r="E238" s="3">
        <f>IF(A238="","",IFERROR(LOOKUP(2,1/(([1]العمليات!$B$2:$B$1000=A238)*([1]العمليات!$I$2:$I$1000&lt;&gt;"")),[1]العمليات!$I$2:$I$1000),""))</f>
        <v>2</v>
      </c>
    </row>
    <row r="239" spans="1:5" x14ac:dyDescent="0.35">
      <c r="A239" s="5" t="s">
        <v>646</v>
      </c>
      <c r="B239" s="5" t="s">
        <v>647</v>
      </c>
      <c r="C239" s="6">
        <f>SUMIFS([1]العمليات!G:G, [1]العمليات!B:B, A239, [1]العمليات!C:C, "إدخال") - SUMIFS([1]العمليات!G:G, [1]العمليات!B:B, A239, [1]العمليات!C:C, "إخراج")</f>
        <v>150</v>
      </c>
      <c r="D239" s="5" t="str">
        <f>IF(A239="","",IFERROR(LOOKUP(2,1/(([1]العمليات!$B$2:$B$1000=A239)*([1]العمليات!$H$2:$H$1000&lt;&gt;"")),[1]العمليات!$H$2:$H$1000),""))</f>
        <v/>
      </c>
      <c r="E239" s="5" t="str">
        <f>IF(A239="","",IFERROR(LOOKUP(2,1/(([1]العمليات!$B$2:$B$1000=A239)*([1]العمليات!$I$2:$I$1000&lt;&gt;"")),[1]العمليات!$I$2:$I$1000),""))</f>
        <v/>
      </c>
    </row>
    <row r="240" spans="1:5" x14ac:dyDescent="0.35">
      <c r="A240" s="3" t="s">
        <v>648</v>
      </c>
      <c r="B240" s="3" t="s">
        <v>649</v>
      </c>
      <c r="C240" s="4">
        <f>SUMIFS([1]العمليات!G:G, [1]العمليات!B:B, A240, [1]العمليات!C:C, "إدخال") - SUMIFS([1]العمليات!G:G, [1]العمليات!B:B, A240, [1]العمليات!C:C, "إخراج")</f>
        <v>228</v>
      </c>
      <c r="D240" s="3" t="str">
        <f>IF(A240="","",IFERROR(LOOKUP(2,1/(([1]العمليات!$B$2:$B$1000=A240)*([1]العمليات!$H$2:$H$1000&lt;&gt;"")),[1]العمليات!$H$2:$H$1000),""))</f>
        <v/>
      </c>
      <c r="E240" s="3" t="str">
        <f>IF(A240="","",IFERROR(LOOKUP(2,1/(([1]العمليات!$B$2:$B$1000=A240)*([1]العمليات!$I$2:$I$1000&lt;&gt;"")),[1]العمليات!$I$2:$I$1000),""))</f>
        <v/>
      </c>
    </row>
    <row r="241" spans="1:5" x14ac:dyDescent="0.35">
      <c r="A241" s="5" t="s">
        <v>650</v>
      </c>
      <c r="B241" s="5" t="s">
        <v>651</v>
      </c>
      <c r="C241" s="6">
        <f>SUMIFS([1]العمليات!G:G, [1]العمليات!B:B, A241, [1]العمليات!C:C, "إدخال") - SUMIFS([1]العمليات!G:G, [1]العمليات!B:B, A241, [1]العمليات!C:C, "إخراج")</f>
        <v>64</v>
      </c>
      <c r="D241" s="5" t="str">
        <f>IF(A241="","",IFERROR(LOOKUP(2,1/(([1]العمليات!$B$2:$B$1000=A241)*([1]العمليات!$H$2:$H$1000&lt;&gt;"")),[1]العمليات!$H$2:$H$1000),""))</f>
        <v/>
      </c>
      <c r="E241" s="5" t="str">
        <f>IF(A241="","",IFERROR(LOOKUP(2,1/(([1]العمليات!$B$2:$B$1000=A241)*([1]العمليات!$I$2:$I$1000&lt;&gt;"")),[1]العمليات!$I$2:$I$1000),""))</f>
        <v/>
      </c>
    </row>
    <row r="242" spans="1:5" x14ac:dyDescent="0.35">
      <c r="A242" s="3" t="s">
        <v>652</v>
      </c>
      <c r="B242" s="3" t="s">
        <v>653</v>
      </c>
      <c r="C242" s="4">
        <f>SUMIFS([1]العمليات!G:G, [1]العمليات!B:B, A242, [1]العمليات!C:C, "إدخال") - SUMIFS([1]العمليات!G:G, [1]العمليات!B:B, A242, [1]العمليات!C:C, "إخراج")</f>
        <v>214</v>
      </c>
      <c r="D242" s="3" t="str">
        <f>IF(A242="","",IFERROR(LOOKUP(2,1/(([1]العمليات!$B$2:$B$1000=A242)*([1]العمليات!$H$2:$H$1000&lt;&gt;"")),[1]العمليات!$H$2:$H$1000),""))</f>
        <v/>
      </c>
      <c r="E242" s="3" t="str">
        <f>IF(A242="","",IFERROR(LOOKUP(2,1/(([1]العمليات!$B$2:$B$1000=A242)*([1]العمليات!$I$2:$I$1000&lt;&gt;"")),[1]العمليات!$I$2:$I$1000),""))</f>
        <v/>
      </c>
    </row>
    <row r="243" spans="1:5" x14ac:dyDescent="0.35">
      <c r="A243" s="5" t="s">
        <v>654</v>
      </c>
      <c r="B243" s="5" t="s">
        <v>655</v>
      </c>
      <c r="C243" s="6">
        <f>SUMIFS([1]العمليات!G:G, [1]العمليات!B:B, A243, [1]العمليات!C:C, "إدخال") - SUMIFS([1]العمليات!G:G, [1]العمليات!B:B, A243, [1]العمليات!C:C, "إخراج")</f>
        <v>230</v>
      </c>
      <c r="D243" s="5" t="str">
        <f>IF(A243="","",IFERROR(LOOKUP(2,1/(([1]العمليات!$B$2:$B$1000=A243)*([1]العمليات!$H$2:$H$1000&lt;&gt;"")),[1]العمليات!$H$2:$H$1000),""))</f>
        <v/>
      </c>
      <c r="E243" s="5" t="str">
        <f>IF(A243="","",IFERROR(LOOKUP(2,1/(([1]العمليات!$B$2:$B$1000=A243)*([1]العمليات!$I$2:$I$1000&lt;&gt;"")),[1]العمليات!$I$2:$I$1000),""))</f>
        <v/>
      </c>
    </row>
    <row r="244" spans="1:5" x14ac:dyDescent="0.35">
      <c r="A244" s="3" t="s">
        <v>210</v>
      </c>
      <c r="B244" s="3" t="s">
        <v>211</v>
      </c>
      <c r="C244" s="4">
        <f>SUMIFS([1]العمليات!G:G, [1]العمليات!B:B, A244, [1]العمليات!C:C, "إدخال") - SUMIFS([1]العمليات!G:G, [1]العمليات!B:B, A244, [1]العمليات!C:C, "إخراج")</f>
        <v>491</v>
      </c>
      <c r="D244" s="3">
        <f>IF(A244="","",IFERROR(LOOKUP(2,1/(([1]العمليات!$B$2:$B$1000=A244)*([1]العمليات!$H$2:$H$1000&lt;&gt;"")),[1]العمليات!$H$2:$H$1000),""))</f>
        <v>5</v>
      </c>
      <c r="E244" s="3">
        <f>IF(A244="","",IFERROR(LOOKUP(2,1/(([1]العمليات!$B$2:$B$1000=A244)*([1]العمليات!$I$2:$I$1000&lt;&gt;"")),[1]العمليات!$I$2:$I$1000),""))</f>
        <v>4</v>
      </c>
    </row>
    <row r="245" spans="1:5" x14ac:dyDescent="0.35">
      <c r="A245" s="5" t="s">
        <v>212</v>
      </c>
      <c r="B245" s="5" t="s">
        <v>213</v>
      </c>
      <c r="C245" s="6">
        <f>SUMIFS([1]العمليات!G:G, [1]العمليات!B:B, A245, [1]العمليات!C:C, "إدخال") - SUMIFS([1]العمليات!G:G, [1]العمليات!B:B, A245, [1]العمليات!C:C, "إخراج")</f>
        <v>1048</v>
      </c>
      <c r="D245" s="5">
        <f>IF(A245="","",IFERROR(LOOKUP(2,1/(([1]العمليات!$B$2:$B$1000=A245)*([1]العمليات!$H$2:$H$1000&lt;&gt;"")),[1]العمليات!$H$2:$H$1000),""))</f>
        <v>6</v>
      </c>
      <c r="E245" s="5">
        <f>IF(A245="","",IFERROR(LOOKUP(2,1/(([1]العمليات!$B$2:$B$1000=A245)*([1]العمليات!$I$2:$I$1000&lt;&gt;"")),[1]العمليات!$I$2:$I$1000),""))</f>
        <v>6</v>
      </c>
    </row>
    <row r="246" spans="1:5" x14ac:dyDescent="0.35">
      <c r="A246" s="3" t="s">
        <v>656</v>
      </c>
      <c r="B246" s="3" t="s">
        <v>657</v>
      </c>
      <c r="C246" s="4">
        <f>SUMIFS([1]العمليات!G:G, [1]العمليات!B:B, A246, [1]العمليات!C:C, "إدخال") - SUMIFS([1]العمليات!G:G, [1]العمليات!B:B, A246, [1]العمليات!C:C, "إخراج")</f>
        <v>179</v>
      </c>
      <c r="D246" s="3" t="str">
        <f>IF(A246="","",IFERROR(LOOKUP(2,1/(([1]العمليات!$B$2:$B$1000=A246)*([1]العمليات!$H$2:$H$1000&lt;&gt;"")),[1]العمليات!$H$2:$H$1000),""))</f>
        <v/>
      </c>
      <c r="E246" s="3" t="str">
        <f>IF(A246="","",IFERROR(LOOKUP(2,1/(([1]العمليات!$B$2:$B$1000=A246)*([1]العمليات!$I$2:$I$1000&lt;&gt;"")),[1]العمليات!$I$2:$I$1000),""))</f>
        <v/>
      </c>
    </row>
    <row r="247" spans="1:5" x14ac:dyDescent="0.35">
      <c r="A247" s="5" t="s">
        <v>214</v>
      </c>
      <c r="B247" s="5" t="s">
        <v>215</v>
      </c>
      <c r="C247" s="6">
        <f>SUMIFS([1]العمليات!G:G, [1]العمليات!B:B, A247, [1]العمليات!C:C, "إدخال") - SUMIFS([1]العمليات!G:G, [1]العمليات!B:B, A247, [1]العمليات!C:C, "إخراج")</f>
        <v>898</v>
      </c>
      <c r="D247" s="5">
        <f>IF(A247="","",IFERROR(LOOKUP(2,1/(([1]العمليات!$B$2:$B$1000=A247)*([1]العمليات!$H$2:$H$1000&lt;&gt;"")),[1]العمليات!$H$2:$H$1000),""))</f>
        <v>6</v>
      </c>
      <c r="E247" s="5">
        <f>IF(A247="","",IFERROR(LOOKUP(2,1/(([1]العمليات!$B$2:$B$1000=A247)*([1]العمليات!$I$2:$I$1000&lt;&gt;"")),[1]العمليات!$I$2:$I$1000),""))</f>
        <v>4</v>
      </c>
    </row>
    <row r="248" spans="1:5" x14ac:dyDescent="0.35">
      <c r="A248" s="3" t="s">
        <v>216</v>
      </c>
      <c r="B248" s="3" t="s">
        <v>217</v>
      </c>
      <c r="C248" s="4">
        <f>SUMIFS([1]العمليات!G:G, [1]العمليات!B:B, A248, [1]العمليات!C:C, "إدخال") - SUMIFS([1]العمليات!G:G, [1]العمليات!B:B, A248, [1]العمليات!C:C, "إخراج")</f>
        <v>677</v>
      </c>
      <c r="D248" s="3">
        <f>IF(A248="","",IFERROR(LOOKUP(2,1/(([1]العمليات!$B$2:$B$1000=A248)*([1]العمليات!$H$2:$H$1000&lt;&gt;"")),[1]العمليات!$H$2:$H$1000),""))</f>
        <v>4</v>
      </c>
      <c r="E248" s="3">
        <f>IF(A248="","",IFERROR(LOOKUP(2,1/(([1]العمليات!$B$2:$B$1000=A248)*([1]العمليات!$I$2:$I$1000&lt;&gt;"")),[1]العمليات!$I$2:$I$1000),""))</f>
        <v>5</v>
      </c>
    </row>
    <row r="249" spans="1:5" x14ac:dyDescent="0.35">
      <c r="A249" s="5" t="s">
        <v>658</v>
      </c>
      <c r="B249" s="5" t="s">
        <v>659</v>
      </c>
      <c r="C249" s="6">
        <f>SUMIFS([1]العمليات!G:G, [1]العمليات!B:B, A249, [1]العمليات!C:C, "إدخال") - SUMIFS([1]العمليات!G:G, [1]العمليات!B:B, A249, [1]العمليات!C:C, "إخراج")</f>
        <v>193</v>
      </c>
      <c r="D249" s="5" t="str">
        <f>IF(A249="","",IFERROR(LOOKUP(2,1/(([1]العمليات!$B$2:$B$1000=A249)*([1]العمليات!$H$2:$H$1000&lt;&gt;"")),[1]العمليات!$H$2:$H$1000),""))</f>
        <v/>
      </c>
      <c r="E249" s="5" t="str">
        <f>IF(A249="","",IFERROR(LOOKUP(2,1/(([1]العمليات!$B$2:$B$1000=A249)*([1]العمليات!$I$2:$I$1000&lt;&gt;"")),[1]العمليات!$I$2:$I$1000),""))</f>
        <v/>
      </c>
    </row>
    <row r="250" spans="1:5" x14ac:dyDescent="0.35">
      <c r="A250" s="3" t="s">
        <v>660</v>
      </c>
      <c r="B250" s="3" t="s">
        <v>661</v>
      </c>
      <c r="C250" s="4">
        <f>SUMIFS([1]العمليات!G:G, [1]العمليات!B:B, A250, [1]العمليات!C:C, "إدخال") - SUMIFS([1]العمليات!G:G, [1]العمليات!B:B, A250, [1]العمليات!C:C, "إخراج")</f>
        <v>242</v>
      </c>
      <c r="D250" s="3" t="str">
        <f>IF(A250="","",IFERROR(LOOKUP(2,1/(([1]العمليات!$B$2:$B$1000=A250)*([1]العمليات!$H$2:$H$1000&lt;&gt;"")),[1]العمليات!$H$2:$H$1000),""))</f>
        <v/>
      </c>
      <c r="E250" s="3" t="str">
        <f>IF(A250="","",IFERROR(LOOKUP(2,1/(([1]العمليات!$B$2:$B$1000=A250)*([1]العمليات!$I$2:$I$1000&lt;&gt;"")),[1]العمليات!$I$2:$I$1000),""))</f>
        <v/>
      </c>
    </row>
    <row r="251" spans="1:5" x14ac:dyDescent="0.35">
      <c r="A251" s="5" t="s">
        <v>662</v>
      </c>
      <c r="B251" s="5" t="s">
        <v>663</v>
      </c>
      <c r="C251" s="6">
        <f>SUMIFS([1]العمليات!G:G, [1]العمليات!B:B, A251, [1]العمليات!C:C, "إدخال") - SUMIFS([1]العمليات!G:G, [1]العمليات!B:B, A251, [1]العمليات!C:C, "إخراج")</f>
        <v>349</v>
      </c>
      <c r="D251" s="5" t="str">
        <f>IF(A251="","",IFERROR(LOOKUP(2,1/(([1]العمليات!$B$2:$B$1000=A251)*([1]العمليات!$H$2:$H$1000&lt;&gt;"")),[1]العمليات!$H$2:$H$1000),""))</f>
        <v/>
      </c>
      <c r="E251" s="5" t="str">
        <f>IF(A251="","",IFERROR(LOOKUP(2,1/(([1]العمليات!$B$2:$B$1000=A251)*([1]العمليات!$I$2:$I$1000&lt;&gt;"")),[1]العمليات!$I$2:$I$1000),""))</f>
        <v/>
      </c>
    </row>
    <row r="252" spans="1:5" x14ac:dyDescent="0.35">
      <c r="A252" s="3" t="s">
        <v>664</v>
      </c>
      <c r="B252" s="3" t="s">
        <v>665</v>
      </c>
      <c r="C252" s="4">
        <f>SUMIFS([1]العمليات!G:G, [1]العمليات!B:B, A252, [1]العمليات!C:C, "إدخال") - SUMIFS([1]العمليات!G:G, [1]العمليات!B:B, A252, [1]العمليات!C:C, "إخراج")</f>
        <v>1183</v>
      </c>
      <c r="D252" s="3" t="str">
        <f>IF(A252="","",IFERROR(LOOKUP(2,1/(([1]العمليات!$B$2:$B$1000=A252)*([1]العمليات!$H$2:$H$1000&lt;&gt;"")),[1]العمليات!$H$2:$H$1000),""))</f>
        <v/>
      </c>
      <c r="E252" s="3" t="str">
        <f>IF(A252="","",IFERROR(LOOKUP(2,1/(([1]العمليات!$B$2:$B$1000=A252)*([1]العمليات!$I$2:$I$1000&lt;&gt;"")),[1]العمليات!$I$2:$I$1000),""))</f>
        <v/>
      </c>
    </row>
    <row r="253" spans="1:5" x14ac:dyDescent="0.35">
      <c r="A253" s="5" t="s">
        <v>218</v>
      </c>
      <c r="B253" s="5" t="s">
        <v>219</v>
      </c>
      <c r="C253" s="6">
        <f>SUMIFS([1]العمليات!G:G, [1]العمليات!B:B, A253, [1]العمليات!C:C, "إدخال") - SUMIFS([1]العمليات!G:G, [1]العمليات!B:B, A253, [1]العمليات!C:C, "إخراج")</f>
        <v>1252</v>
      </c>
      <c r="D253" s="5">
        <f>IF(A253="","",IFERROR(LOOKUP(2,1/(([1]العمليات!$B$2:$B$1000=A253)*([1]العمليات!$H$2:$H$1000&lt;&gt;"")),[1]العمليات!$H$2:$H$1000),""))</f>
        <v>4</v>
      </c>
      <c r="E253" s="5">
        <f>IF(A253="","",IFERROR(LOOKUP(2,1/(([1]العمليات!$B$2:$B$1000=A253)*([1]العمليات!$I$2:$I$1000&lt;&gt;"")),[1]العمليات!$I$2:$I$1000),""))</f>
        <v>4</v>
      </c>
    </row>
    <row r="254" spans="1:5" x14ac:dyDescent="0.35">
      <c r="A254" s="3" t="s">
        <v>220</v>
      </c>
      <c r="B254" s="3" t="s">
        <v>221</v>
      </c>
      <c r="C254" s="4">
        <f>SUMIFS([1]العمليات!G:G, [1]العمليات!B:B, A254, [1]العمليات!C:C, "إدخال") - SUMIFS([1]العمليات!G:G, [1]العمليات!B:B, A254, [1]العمليات!C:C, "إخراج")</f>
        <v>614</v>
      </c>
      <c r="D254" s="3">
        <f>IF(A254="","",IFERROR(LOOKUP(2,1/(([1]العمليات!$B$2:$B$1000=A254)*([1]العمليات!$H$2:$H$1000&lt;&gt;"")),[1]العمليات!$H$2:$H$1000),""))</f>
        <v>2</v>
      </c>
      <c r="E254" s="3">
        <f>IF(A254="","",IFERROR(LOOKUP(2,1/(([1]العمليات!$B$2:$B$1000=A254)*([1]العمليات!$I$2:$I$1000&lt;&gt;"")),[1]العمليات!$I$2:$I$1000),""))</f>
        <v>5</v>
      </c>
    </row>
    <row r="255" spans="1:5" x14ac:dyDescent="0.35">
      <c r="A255" s="5" t="s">
        <v>666</v>
      </c>
      <c r="B255" s="5" t="s">
        <v>667</v>
      </c>
      <c r="C255" s="6">
        <f>SUMIFS([1]العمليات!G:G, [1]العمليات!B:B, A255, [1]العمليات!C:C, "إدخال") - SUMIFS([1]العمليات!G:G, [1]العمليات!B:B, A255, [1]العمليات!C:C, "إخراج")</f>
        <v>194</v>
      </c>
      <c r="D255" s="5" t="str">
        <f>IF(A255="","",IFERROR(LOOKUP(2,1/(([1]العمليات!$B$2:$B$1000=A255)*([1]العمليات!$H$2:$H$1000&lt;&gt;"")),[1]العمليات!$H$2:$H$1000),""))</f>
        <v/>
      </c>
      <c r="E255" s="5" t="str">
        <f>IF(A255="","",IFERROR(LOOKUP(2,1/(([1]العمليات!$B$2:$B$1000=A255)*([1]العمليات!$I$2:$I$1000&lt;&gt;"")),[1]العمليات!$I$2:$I$1000),""))</f>
        <v/>
      </c>
    </row>
    <row r="256" spans="1:5" x14ac:dyDescent="0.35">
      <c r="A256" s="3" t="s">
        <v>668</v>
      </c>
      <c r="B256" s="3" t="s">
        <v>669</v>
      </c>
      <c r="C256" s="4">
        <f>SUMIFS([1]العمليات!G:G, [1]العمليات!B:B, A256, [1]العمليات!C:C, "إدخال") - SUMIFS([1]العمليات!G:G, [1]العمليات!B:B, A256, [1]العمليات!C:C, "إخراج")</f>
        <v>409</v>
      </c>
      <c r="D256" s="3" t="str">
        <f>IF(A256="","",IFERROR(LOOKUP(2,1/(([1]العمليات!$B$2:$B$1000=A256)*([1]العمليات!$H$2:$H$1000&lt;&gt;"")),[1]العمليات!$H$2:$H$1000),""))</f>
        <v/>
      </c>
      <c r="E256" s="3" t="str">
        <f>IF(A256="","",IFERROR(LOOKUP(2,1/(([1]العمليات!$B$2:$B$1000=A256)*([1]العمليات!$I$2:$I$1000&lt;&gt;"")),[1]العمليات!$I$2:$I$1000),""))</f>
        <v/>
      </c>
    </row>
    <row r="257" spans="1:5" x14ac:dyDescent="0.35">
      <c r="A257" s="5" t="s">
        <v>222</v>
      </c>
      <c r="B257" s="5" t="s">
        <v>223</v>
      </c>
      <c r="C257" s="6">
        <f>SUMIFS([1]العمليات!G:G, [1]العمليات!B:B, A257, [1]العمليات!C:C, "إدخال") - SUMIFS([1]العمليات!G:G, [1]العمليات!B:B, A257, [1]العمليات!C:C, "إخراج")</f>
        <v>546</v>
      </c>
      <c r="D257" s="5">
        <f>IF(A257="","",IFERROR(LOOKUP(2,1/(([1]العمليات!$B$2:$B$1000=A257)*([1]العمليات!$H$2:$H$1000&lt;&gt;"")),[1]العمليات!$H$2:$H$1000),""))</f>
        <v>4</v>
      </c>
      <c r="E257" s="5">
        <f>IF(A257="","",IFERROR(LOOKUP(2,1/(([1]العمليات!$B$2:$B$1000=A257)*([1]العمليات!$I$2:$I$1000&lt;&gt;"")),[1]العمليات!$I$2:$I$1000),""))</f>
        <v>2</v>
      </c>
    </row>
    <row r="258" spans="1:5" x14ac:dyDescent="0.35">
      <c r="A258" s="3" t="s">
        <v>224</v>
      </c>
      <c r="B258" s="3" t="s">
        <v>225</v>
      </c>
      <c r="C258" s="4">
        <f>SUMIFS([1]العمليات!G:G, [1]العمليات!B:B, A258, [1]العمليات!C:C, "إدخال") - SUMIFS([1]العمليات!G:G, [1]العمليات!B:B, A258, [1]العمليات!C:C, "إخراج")</f>
        <v>797</v>
      </c>
      <c r="D258" s="3">
        <f>IF(A258="","",IFERROR(LOOKUP(2,1/(([1]العمليات!$B$2:$B$1000=A258)*([1]العمليات!$H$2:$H$1000&lt;&gt;"")),[1]العمليات!$H$2:$H$1000),""))</f>
        <v>4</v>
      </c>
      <c r="E258" s="3">
        <f>IF(A258="","",IFERROR(LOOKUP(2,1/(([1]العمليات!$B$2:$B$1000=A258)*([1]العمليات!$I$2:$I$1000&lt;&gt;"")),[1]العمليات!$I$2:$I$1000),""))</f>
        <v>6</v>
      </c>
    </row>
    <row r="259" spans="1:5" x14ac:dyDescent="0.35">
      <c r="A259" s="5" t="s">
        <v>670</v>
      </c>
      <c r="B259" s="5" t="s">
        <v>671</v>
      </c>
      <c r="C259" s="6">
        <f>SUMIFS([1]العمليات!G:G, [1]العمليات!B:B, A259, [1]العمليات!C:C, "إدخال") - SUMIFS([1]العمليات!G:G, [1]العمليات!B:B, A259, [1]العمليات!C:C, "إخراج")</f>
        <v>313</v>
      </c>
      <c r="D259" s="5" t="str">
        <f>IF(A259="","",IFERROR(LOOKUP(2,1/(([1]العمليات!$B$2:$B$1000=A259)*([1]العمليات!$H$2:$H$1000&lt;&gt;"")),[1]العمليات!$H$2:$H$1000),""))</f>
        <v/>
      </c>
      <c r="E259" s="5" t="str">
        <f>IF(A259="","",IFERROR(LOOKUP(2,1/(([1]العمليات!$B$2:$B$1000=A259)*([1]العمليات!$I$2:$I$1000&lt;&gt;"")),[1]العمليات!$I$2:$I$1000),""))</f>
        <v/>
      </c>
    </row>
    <row r="260" spans="1:5" x14ac:dyDescent="0.35">
      <c r="A260" s="3" t="s">
        <v>226</v>
      </c>
      <c r="B260" s="3" t="s">
        <v>227</v>
      </c>
      <c r="C260" s="4">
        <f>SUMIFS([1]العمليات!G:G, [1]العمليات!B:B, A260, [1]العمليات!C:C, "إدخال") - SUMIFS([1]العمليات!G:G, [1]العمليات!B:B, A260, [1]العمليات!C:C, "إخراج")</f>
        <v>929</v>
      </c>
      <c r="D260" s="3">
        <f>IF(A260="","",IFERROR(LOOKUP(2,1/(([1]العمليات!$B$2:$B$1000=A260)*([1]العمليات!$H$2:$H$1000&lt;&gt;"")),[1]العمليات!$H$2:$H$1000),""))</f>
        <v>2</v>
      </c>
      <c r="E260" s="3">
        <f>IF(A260="","",IFERROR(LOOKUP(2,1/(([1]العمليات!$B$2:$B$1000=A260)*([1]العمليات!$I$2:$I$1000&lt;&gt;"")),[1]العمليات!$I$2:$I$1000),""))</f>
        <v>2</v>
      </c>
    </row>
    <row r="261" spans="1:5" x14ac:dyDescent="0.35">
      <c r="A261" s="5" t="s">
        <v>228</v>
      </c>
      <c r="B261" s="5" t="s">
        <v>229</v>
      </c>
      <c r="C261" s="6">
        <f>SUMIFS([1]العمليات!G:G, [1]العمليات!B:B, A261, [1]العمليات!C:C, "إدخال") - SUMIFS([1]العمليات!G:G, [1]العمليات!B:B, A261, [1]العمليات!C:C, "إخراج")</f>
        <v>461</v>
      </c>
      <c r="D261" s="5">
        <f>IF(A261="","",IFERROR(LOOKUP(2,1/(([1]العمليات!$B$2:$B$1000=A261)*([1]العمليات!$H$2:$H$1000&lt;&gt;"")),[1]العمليات!$H$2:$H$1000),""))</f>
        <v>3</v>
      </c>
      <c r="E261" s="5">
        <f>IF(A261="","",IFERROR(LOOKUP(2,1/(([1]العمليات!$B$2:$B$1000=A261)*([1]العمليات!$I$2:$I$1000&lt;&gt;"")),[1]العمليات!$I$2:$I$1000),""))</f>
        <v>4</v>
      </c>
    </row>
    <row r="262" spans="1:5" x14ac:dyDescent="0.35">
      <c r="A262" s="3" t="s">
        <v>230</v>
      </c>
      <c r="B262" s="3" t="s">
        <v>231</v>
      </c>
      <c r="C262" s="4">
        <f>SUMIFS([1]العمليات!G:G, [1]العمليات!B:B, A262, [1]العمليات!C:C, "إدخال") - SUMIFS([1]العمليات!G:G, [1]العمليات!B:B, A262, [1]العمليات!C:C, "إخراج")</f>
        <v>1403</v>
      </c>
      <c r="D262" s="3">
        <f>IF(A262="","",IFERROR(LOOKUP(2,1/(([1]العمليات!$B$2:$B$1000=A262)*([1]العمليات!$H$2:$H$1000&lt;&gt;"")),[1]العمليات!$H$2:$H$1000),""))</f>
        <v>6</v>
      </c>
      <c r="E262" s="3">
        <f>IF(A262="","",IFERROR(LOOKUP(2,1/(([1]العمليات!$B$2:$B$1000=A262)*([1]العمليات!$I$2:$I$1000&lt;&gt;"")),[1]العمليات!$I$2:$I$1000),""))</f>
        <v>1</v>
      </c>
    </row>
    <row r="263" spans="1:5" x14ac:dyDescent="0.35">
      <c r="A263" s="5" t="s">
        <v>232</v>
      </c>
      <c r="B263" s="5" t="s">
        <v>233</v>
      </c>
      <c r="C263" s="6">
        <f>SUMIFS([1]العمليات!G:G, [1]العمليات!B:B, A263, [1]العمليات!C:C, "إدخال") - SUMIFS([1]العمليات!G:G, [1]العمليات!B:B, A263, [1]العمليات!C:C, "إخراج")</f>
        <v>780</v>
      </c>
      <c r="D263" s="5">
        <f>IF(A263="","",IFERROR(LOOKUP(2,1/(([1]العمليات!$B$2:$B$1000=A263)*([1]العمليات!$H$2:$H$1000&lt;&gt;"")),[1]العمليات!$H$2:$H$1000),""))</f>
        <v>3</v>
      </c>
      <c r="E263" s="5">
        <f>IF(A263="","",IFERROR(LOOKUP(2,1/(([1]العمليات!$B$2:$B$1000=A263)*([1]العمليات!$I$2:$I$1000&lt;&gt;"")),[1]العمليات!$I$2:$I$1000),""))</f>
        <v>2</v>
      </c>
    </row>
    <row r="264" spans="1:5" x14ac:dyDescent="0.35">
      <c r="A264" s="3" t="s">
        <v>672</v>
      </c>
      <c r="B264" s="3" t="s">
        <v>673</v>
      </c>
      <c r="C264" s="4">
        <f>SUMIFS([1]العمليات!G:G, [1]العمليات!B:B, A264, [1]العمليات!C:C, "إدخال") - SUMIFS([1]العمليات!G:G, [1]العمليات!B:B, A264, [1]العمليات!C:C, "إخراج")</f>
        <v>500</v>
      </c>
      <c r="D264" s="3" t="str">
        <f>IF(A264="","",IFERROR(LOOKUP(2,1/(([1]العمليات!$B$2:$B$1000=A264)*([1]العمليات!$H$2:$H$1000&lt;&gt;"")),[1]العمليات!$H$2:$H$1000),""))</f>
        <v/>
      </c>
      <c r="E264" s="3" t="str">
        <f>IF(A264="","",IFERROR(LOOKUP(2,1/(([1]العمليات!$B$2:$B$1000=A264)*([1]العمليات!$I$2:$I$1000&lt;&gt;"")),[1]العمليات!$I$2:$I$1000),""))</f>
        <v/>
      </c>
    </row>
    <row r="265" spans="1:5" x14ac:dyDescent="0.35">
      <c r="A265" s="5" t="s">
        <v>234</v>
      </c>
      <c r="B265" s="5" t="s">
        <v>235</v>
      </c>
      <c r="C265" s="6">
        <f>SUMIFS([1]العمليات!G:G, [1]العمليات!B:B, A265, [1]العمليات!C:C, "إدخال") - SUMIFS([1]العمليات!G:G, [1]العمليات!B:B, A265, [1]العمليات!C:C, "إخراج")</f>
        <v>772</v>
      </c>
      <c r="D265" s="5">
        <f>IF(A265="","",IFERROR(LOOKUP(2,1/(([1]العمليات!$B$2:$B$1000=A265)*([1]العمليات!$H$2:$H$1000&lt;&gt;"")),[1]العمليات!$H$2:$H$1000),""))</f>
        <v>6</v>
      </c>
      <c r="E265" s="5">
        <f>IF(A265="","",IFERROR(LOOKUP(2,1/(([1]العمليات!$B$2:$B$1000=A265)*([1]العمليات!$I$2:$I$1000&lt;&gt;"")),[1]العمليات!$I$2:$I$1000),""))</f>
        <v>3</v>
      </c>
    </row>
    <row r="266" spans="1:5" x14ac:dyDescent="0.35">
      <c r="A266" s="3" t="s">
        <v>236</v>
      </c>
      <c r="B266" s="3" t="s">
        <v>237</v>
      </c>
      <c r="C266" s="4">
        <f>SUMIFS([1]العمليات!G:G, [1]العمليات!B:B, A266, [1]العمليات!C:C, "إدخال") - SUMIFS([1]العمليات!G:G, [1]العمليات!B:B, A266, [1]العمليات!C:C, "إخراج")</f>
        <v>786</v>
      </c>
      <c r="D266" s="3">
        <f>IF(A266="","",IFERROR(LOOKUP(2,1/(([1]العمليات!$B$2:$B$1000=A266)*([1]العمليات!$H$2:$H$1000&lt;&gt;"")),[1]العمليات!$H$2:$H$1000),""))</f>
        <v>3</v>
      </c>
      <c r="E266" s="3" t="str">
        <f>IF(A266="","",IFERROR(LOOKUP(2,1/(([1]العمليات!$B$2:$B$1000=A266)*([1]العمليات!$I$2:$I$1000&lt;&gt;"")),[1]العمليات!$I$2:$I$1000),""))</f>
        <v>3ط2</v>
      </c>
    </row>
    <row r="267" spans="1:5" x14ac:dyDescent="0.35">
      <c r="A267" s="5" t="s">
        <v>674</v>
      </c>
      <c r="B267" s="5" t="s">
        <v>675</v>
      </c>
      <c r="C267" s="6">
        <f>SUMIFS([1]العمليات!G:G, [1]العمليات!B:B, A267, [1]العمليات!C:C, "إدخال") - SUMIFS([1]العمليات!G:G, [1]العمليات!B:B, A267, [1]العمليات!C:C, "إخراج")</f>
        <v>2</v>
      </c>
      <c r="D267" s="5" t="str">
        <f>IF(A267="","",IFERROR(LOOKUP(2,1/(([1]العمليات!$B$2:$B$1000=A267)*([1]العمليات!$H$2:$H$1000&lt;&gt;"")),[1]العمليات!$H$2:$H$1000),""))</f>
        <v/>
      </c>
      <c r="E267" s="5" t="str">
        <f>IF(A267="","",IFERROR(LOOKUP(2,1/(([1]العمليات!$B$2:$B$1000=A267)*([1]العمليات!$I$2:$I$1000&lt;&gt;"")),[1]العمليات!$I$2:$I$1000),""))</f>
        <v/>
      </c>
    </row>
    <row r="268" spans="1:5" x14ac:dyDescent="0.35">
      <c r="A268" s="3" t="s">
        <v>676</v>
      </c>
      <c r="B268" s="3" t="s">
        <v>677</v>
      </c>
      <c r="C268" s="4">
        <f>SUMIFS([1]العمليات!G:G, [1]العمليات!B:B, A268, [1]العمليات!C:C, "إدخال") - SUMIFS([1]العمليات!G:G, [1]العمليات!B:B, A268, [1]العمليات!C:C, "إخراج")</f>
        <v>0</v>
      </c>
      <c r="D268" s="3" t="str">
        <f>IF(A268="","",IFERROR(LOOKUP(2,1/(([1]العمليات!$B$2:$B$1000=A268)*([1]العمليات!$H$2:$H$1000&lt;&gt;"")),[1]العمليات!$H$2:$H$1000),""))</f>
        <v/>
      </c>
      <c r="E268" s="3" t="str">
        <f>IF(A268="","",IFERROR(LOOKUP(2,1/(([1]العمليات!$B$2:$B$1000=A268)*([1]العمليات!$I$2:$I$1000&lt;&gt;"")),[1]العمليات!$I$2:$I$1000),""))</f>
        <v/>
      </c>
    </row>
    <row r="269" spans="1:5" x14ac:dyDescent="0.35">
      <c r="A269" s="5" t="s">
        <v>678</v>
      </c>
      <c r="B269" s="5" t="s">
        <v>679</v>
      </c>
      <c r="C269" s="6">
        <f>SUMIFS([1]العمليات!G:G, [1]العمليات!B:B, A269, [1]العمليات!C:C, "إدخال") - SUMIFS([1]العمليات!G:G, [1]العمليات!B:B, A269, [1]العمليات!C:C, "إخراج")</f>
        <v>216</v>
      </c>
      <c r="D269" s="5" t="str">
        <f>IF(A269="","",IFERROR(LOOKUP(2,1/(([1]العمليات!$B$2:$B$1000=A269)*([1]العمليات!$H$2:$H$1000&lt;&gt;"")),[1]العمليات!$H$2:$H$1000),""))</f>
        <v/>
      </c>
      <c r="E269" s="5" t="str">
        <f>IF(A269="","",IFERROR(LOOKUP(2,1/(([1]العمليات!$B$2:$B$1000=A269)*([1]العمليات!$I$2:$I$1000&lt;&gt;"")),[1]العمليات!$I$2:$I$1000),""))</f>
        <v/>
      </c>
    </row>
    <row r="270" spans="1:5" x14ac:dyDescent="0.35">
      <c r="A270" s="3" t="s">
        <v>680</v>
      </c>
      <c r="B270" s="3" t="s">
        <v>681</v>
      </c>
      <c r="C270" s="4">
        <f>SUMIFS([1]العمليات!G:G, [1]العمليات!B:B, A270, [1]العمليات!C:C, "إدخال") - SUMIFS([1]العمليات!G:G, [1]العمليات!B:B, A270, [1]العمليات!C:C, "إخراج")</f>
        <v>255</v>
      </c>
      <c r="D270" s="3" t="str">
        <f>IF(A270="","",IFERROR(LOOKUP(2,1/(([1]العمليات!$B$2:$B$1000=A270)*([1]العمليات!$H$2:$H$1000&lt;&gt;"")),[1]العمليات!$H$2:$H$1000),""))</f>
        <v/>
      </c>
      <c r="E270" s="3" t="str">
        <f>IF(A270="","",IFERROR(LOOKUP(2,1/(([1]العمليات!$B$2:$B$1000=A270)*([1]العمليات!$I$2:$I$1000&lt;&gt;"")),[1]العمليات!$I$2:$I$1000),""))</f>
        <v/>
      </c>
    </row>
    <row r="271" spans="1:5" x14ac:dyDescent="0.35">
      <c r="A271" s="5" t="s">
        <v>238</v>
      </c>
      <c r="B271" s="5" t="s">
        <v>239</v>
      </c>
      <c r="C271" s="6">
        <f>SUMIFS([1]العمليات!G:G, [1]العمليات!B:B, A271, [1]العمليات!C:C, "إدخال") - SUMIFS([1]العمليات!G:G, [1]العمليات!B:B, A271, [1]العمليات!C:C, "إخراج")</f>
        <v>1365</v>
      </c>
      <c r="D271" s="5">
        <f>IF(A271="","",IFERROR(LOOKUP(2,1/(([1]العمليات!$B$2:$B$1000=A271)*([1]العمليات!$H$2:$H$1000&lt;&gt;"")),[1]العمليات!$H$2:$H$1000),""))</f>
        <v>2</v>
      </c>
      <c r="E271" s="5">
        <f>IF(A271="","",IFERROR(LOOKUP(2,1/(([1]العمليات!$B$2:$B$1000=A271)*([1]العمليات!$I$2:$I$1000&lt;&gt;"")),[1]العمليات!$I$2:$I$1000),""))</f>
        <v>2</v>
      </c>
    </row>
    <row r="272" spans="1:5" x14ac:dyDescent="0.35">
      <c r="A272" s="3" t="s">
        <v>240</v>
      </c>
      <c r="B272" s="3" t="s">
        <v>241</v>
      </c>
      <c r="C272" s="4">
        <f>SUMIFS([1]العمليات!G:G, [1]العمليات!B:B, A272, [1]العمليات!C:C, "إدخال") - SUMIFS([1]العمليات!G:G, [1]العمليات!B:B, A272, [1]العمليات!C:C, "إخراج")</f>
        <v>430</v>
      </c>
      <c r="D272" s="3">
        <f>IF(A272="","",IFERROR(LOOKUP(2,1/(([1]العمليات!$B$2:$B$1000=A272)*([1]العمليات!$H$2:$H$1000&lt;&gt;"")),[1]العمليات!$H$2:$H$1000),""))</f>
        <v>3</v>
      </c>
      <c r="E272" s="3" t="str">
        <f>IF(A272="","",IFERROR(LOOKUP(2,1/(([1]العمليات!$B$2:$B$1000=A272)*([1]العمليات!$I$2:$I$1000&lt;&gt;"")),[1]العمليات!$I$2:$I$1000),""))</f>
        <v>2ط2</v>
      </c>
    </row>
    <row r="273" spans="1:5" x14ac:dyDescent="0.35">
      <c r="A273" s="5" t="s">
        <v>682</v>
      </c>
      <c r="B273" s="5" t="s">
        <v>683</v>
      </c>
      <c r="C273" s="6">
        <f>SUMIFS([1]العمليات!G:G, [1]العمليات!B:B, A273, [1]العمليات!C:C, "إدخال") - SUMIFS([1]العمليات!G:G, [1]العمليات!B:B, A273, [1]العمليات!C:C, "إخراج")</f>
        <v>382</v>
      </c>
      <c r="D273" s="5" t="str">
        <f>IF(A273="","",IFERROR(LOOKUP(2,1/(([1]العمليات!$B$2:$B$1000=A273)*([1]العمليات!$H$2:$H$1000&lt;&gt;"")),[1]العمليات!$H$2:$H$1000),""))</f>
        <v/>
      </c>
      <c r="E273" s="5" t="str">
        <f>IF(A273="","",IFERROR(LOOKUP(2,1/(([1]العمليات!$B$2:$B$1000=A273)*([1]العمليات!$I$2:$I$1000&lt;&gt;"")),[1]العمليات!$I$2:$I$1000),""))</f>
        <v/>
      </c>
    </row>
    <row r="274" spans="1:5" x14ac:dyDescent="0.35">
      <c r="A274" s="3" t="s">
        <v>242</v>
      </c>
      <c r="B274" s="3" t="s">
        <v>243</v>
      </c>
      <c r="C274" s="4">
        <f>SUMIFS([1]العمليات!G:G, [1]العمليات!B:B, A274, [1]العمليات!C:C, "إدخال") - SUMIFS([1]العمليات!G:G, [1]العمليات!B:B, A274, [1]العمليات!C:C, "إخراج")</f>
        <v>3367</v>
      </c>
      <c r="D274" s="3" t="str">
        <f>IF(A274="","",IFERROR(LOOKUP(2,1/(([1]العمليات!$B$2:$B$1000=A274)*([1]العمليات!$H$2:$H$1000&lt;&gt;"")),[1]العمليات!$H$2:$H$1000),""))</f>
        <v>مختوم ومسك</v>
      </c>
      <c r="E274" s="3" t="str">
        <f>IF(A274="","",IFERROR(LOOKUP(2,1/(([1]العمليات!$B$2:$B$1000=A274)*([1]العمليات!$I$2:$I$1000&lt;&gt;"")),[1]العمليات!$I$2:$I$1000),""))</f>
        <v>-</v>
      </c>
    </row>
    <row r="275" spans="1:5" x14ac:dyDescent="0.35">
      <c r="A275" s="5" t="s">
        <v>244</v>
      </c>
      <c r="B275" s="5" t="s">
        <v>245</v>
      </c>
      <c r="C275" s="6">
        <f>SUMIFS([1]العمليات!G:G, [1]العمليات!B:B, A275, [1]العمليات!C:C, "إدخال") - SUMIFS([1]العمليات!G:G, [1]العمليات!B:B, A275, [1]العمليات!C:C, "إخراج")</f>
        <v>100</v>
      </c>
      <c r="D275" s="5">
        <f>IF(A275="","",IFERROR(LOOKUP(2,1/(([1]العمليات!$B$2:$B$1000=A275)*([1]العمليات!$H$2:$H$1000&lt;&gt;"")),[1]العمليات!$H$2:$H$1000),""))</f>
        <v>3</v>
      </c>
      <c r="E275" s="5">
        <f>IF(A275="","",IFERROR(LOOKUP(2,1/(([1]العمليات!$B$2:$B$1000=A275)*([1]العمليات!$I$2:$I$1000&lt;&gt;"")),[1]العمليات!$I$2:$I$1000),""))</f>
        <v>6</v>
      </c>
    </row>
    <row r="276" spans="1:5" x14ac:dyDescent="0.35">
      <c r="A276" s="3" t="s">
        <v>684</v>
      </c>
      <c r="B276" s="3" t="s">
        <v>685</v>
      </c>
      <c r="C276" s="4">
        <f>SUMIFS([1]العمليات!G:G, [1]العمليات!B:B, A276, [1]العمليات!C:C, "إدخال") - SUMIFS([1]العمليات!G:G, [1]العمليات!B:B, A276, [1]العمليات!C:C, "إخراج")</f>
        <v>988</v>
      </c>
      <c r="D276" s="3" t="str">
        <f>IF(A276="","",IFERROR(LOOKUP(2,1/(([1]العمليات!$B$2:$B$1000=A276)*([1]العمليات!$H$2:$H$1000&lt;&gt;"")),[1]العمليات!$H$2:$H$1000),""))</f>
        <v/>
      </c>
      <c r="E276" s="3" t="str">
        <f>IF(A276="","",IFERROR(LOOKUP(2,1/(([1]العمليات!$B$2:$B$1000=A276)*([1]العمليات!$I$2:$I$1000&lt;&gt;"")),[1]العمليات!$I$2:$I$1000),""))</f>
        <v/>
      </c>
    </row>
    <row r="277" spans="1:5" x14ac:dyDescent="0.35">
      <c r="A277" s="5" t="s">
        <v>686</v>
      </c>
      <c r="B277" s="5" t="s">
        <v>687</v>
      </c>
      <c r="C277" s="6">
        <f>SUMIFS([1]العمليات!G:G, [1]العمليات!B:B, A277, [1]العمليات!C:C, "إدخال") - SUMIFS([1]العمليات!G:G, [1]العمليات!B:B, A277, [1]العمليات!C:C, "إخراج")</f>
        <v>0</v>
      </c>
      <c r="D277" s="5" t="str">
        <f>IF(A277="","",IFERROR(LOOKUP(2,1/(([1]العمليات!$B$2:$B$1000=A277)*([1]العمليات!$H$2:$H$1000&lt;&gt;"")),[1]العمليات!$H$2:$H$1000),""))</f>
        <v/>
      </c>
      <c r="E277" s="5" t="str">
        <f>IF(A277="","",IFERROR(LOOKUP(2,1/(([1]العمليات!$B$2:$B$1000=A277)*([1]العمليات!$I$2:$I$1000&lt;&gt;"")),[1]العمليات!$I$2:$I$1000),""))</f>
        <v/>
      </c>
    </row>
    <row r="278" spans="1:5" x14ac:dyDescent="0.35">
      <c r="A278" s="3" t="s">
        <v>246</v>
      </c>
      <c r="B278" s="3" t="s">
        <v>247</v>
      </c>
      <c r="C278" s="4">
        <f>SUMIFS([1]العمليات!G:G, [1]العمليات!B:B, A278, [1]العمليات!C:C, "إدخال") - SUMIFS([1]العمليات!G:G, [1]العمليات!B:B, A278, [1]العمليات!C:C, "إخراج")</f>
        <v>932</v>
      </c>
      <c r="D278" s="3">
        <f>IF(A278="","",IFERROR(LOOKUP(2,1/(([1]العمليات!$B$2:$B$1000=A278)*([1]العمليات!$H$2:$H$1000&lt;&gt;"")),[1]العمليات!$H$2:$H$1000),""))</f>
        <v>5</v>
      </c>
      <c r="E278" s="3">
        <f>IF(A278="","",IFERROR(LOOKUP(2,1/(([1]العمليات!$B$2:$B$1000=A278)*([1]العمليات!$I$2:$I$1000&lt;&gt;"")),[1]العمليات!$I$2:$I$1000),""))</f>
        <v>2</v>
      </c>
    </row>
    <row r="279" spans="1:5" x14ac:dyDescent="0.35">
      <c r="A279" s="5" t="s">
        <v>248</v>
      </c>
      <c r="B279" s="5" t="s">
        <v>249</v>
      </c>
      <c r="C279" s="6">
        <f>SUMIFS([1]العمليات!G:G, [1]العمليات!B:B, A279, [1]العمليات!C:C, "إدخال") - SUMIFS([1]العمليات!G:G, [1]العمليات!B:B, A279, [1]العمليات!C:C, "إخراج")</f>
        <v>1144</v>
      </c>
      <c r="D279" s="5">
        <f>IF(A279="","",IFERROR(LOOKUP(2,1/(([1]العمليات!$B$2:$B$1000=A279)*([1]العمليات!$H$2:$H$1000&lt;&gt;"")),[1]العمليات!$H$2:$H$1000),""))</f>
        <v>2</v>
      </c>
      <c r="E279" s="5">
        <f>IF(A279="","",IFERROR(LOOKUP(2,1/(([1]العمليات!$B$2:$B$1000=A279)*([1]العمليات!$I$2:$I$1000&lt;&gt;"")),[1]العمليات!$I$2:$I$1000),""))</f>
        <v>3</v>
      </c>
    </row>
    <row r="280" spans="1:5" x14ac:dyDescent="0.35">
      <c r="A280" s="3" t="s">
        <v>688</v>
      </c>
      <c r="B280" s="3" t="s">
        <v>689</v>
      </c>
      <c r="C280" s="4">
        <f>SUMIFS([1]العمليات!G:G, [1]العمليات!B:B, A280, [1]العمليات!C:C, "إدخال") - SUMIFS([1]العمليات!G:G, [1]العمليات!B:B, A280, [1]العمليات!C:C, "إخراج")</f>
        <v>369</v>
      </c>
      <c r="D280" s="3" t="str">
        <f>IF(A280="","",IFERROR(LOOKUP(2,1/(([1]العمليات!$B$2:$B$1000=A280)*([1]العمليات!$H$2:$H$1000&lt;&gt;"")),[1]العمليات!$H$2:$H$1000),""))</f>
        <v/>
      </c>
      <c r="E280" s="3" t="str">
        <f>IF(A280="","",IFERROR(LOOKUP(2,1/(([1]العمليات!$B$2:$B$1000=A280)*([1]العمليات!$I$2:$I$1000&lt;&gt;"")),[1]العمليات!$I$2:$I$1000),""))</f>
        <v/>
      </c>
    </row>
    <row r="281" spans="1:5" x14ac:dyDescent="0.35">
      <c r="A281" s="5" t="s">
        <v>250</v>
      </c>
      <c r="B281" s="5" t="s">
        <v>251</v>
      </c>
      <c r="C281" s="6">
        <f>SUMIFS([1]العمليات!G:G, [1]العمليات!B:B, A281, [1]العمليات!C:C, "إدخال") - SUMIFS([1]العمليات!G:G, [1]العمليات!B:B, A281, [1]العمليات!C:C, "إخراج")</f>
        <v>164</v>
      </c>
      <c r="D281" s="5">
        <f>IF(A281="","",IFERROR(LOOKUP(2,1/(([1]العمليات!$B$2:$B$1000=A281)*([1]العمليات!$H$2:$H$1000&lt;&gt;"")),[1]العمليات!$H$2:$H$1000),""))</f>
        <v>6</v>
      </c>
      <c r="E281" s="5">
        <f>IF(A281="","",IFERROR(LOOKUP(2,1/(([1]العمليات!$B$2:$B$1000=A281)*([1]العمليات!$I$2:$I$1000&lt;&gt;"")),[1]العمليات!$I$2:$I$1000),""))</f>
        <v>6</v>
      </c>
    </row>
    <row r="282" spans="1:5" x14ac:dyDescent="0.35">
      <c r="A282" s="3" t="s">
        <v>690</v>
      </c>
      <c r="B282" s="3" t="s">
        <v>691</v>
      </c>
      <c r="C282" s="4">
        <f>SUMIFS([1]العمليات!G:G, [1]العمليات!B:B, A282, [1]العمليات!C:C, "إدخال") - SUMIFS([1]العمليات!G:G, [1]العمليات!B:B, A282, [1]العمليات!C:C, "إخراج")</f>
        <v>0</v>
      </c>
      <c r="D282" s="3" t="str">
        <f>IF(A282="","",IFERROR(LOOKUP(2,1/(([1]العمليات!$B$2:$B$1000=A282)*([1]العمليات!$H$2:$H$1000&lt;&gt;"")),[1]العمليات!$H$2:$H$1000),""))</f>
        <v/>
      </c>
      <c r="E282" s="3" t="str">
        <f>IF(A282="","",IFERROR(LOOKUP(2,1/(([1]العمليات!$B$2:$B$1000=A282)*([1]العمليات!$I$2:$I$1000&lt;&gt;"")),[1]العمليات!$I$2:$I$1000),""))</f>
        <v/>
      </c>
    </row>
    <row r="283" spans="1:5" x14ac:dyDescent="0.35">
      <c r="A283" s="5" t="s">
        <v>252</v>
      </c>
      <c r="B283" s="5" t="s">
        <v>253</v>
      </c>
      <c r="C283" s="6">
        <f>SUMIFS([1]العمليات!G:G, [1]العمليات!B:B, A283, [1]العمليات!C:C, "إدخال") - SUMIFS([1]العمليات!G:G, [1]العمليات!B:B, A283, [1]العمليات!C:C, "إخراج")</f>
        <v>1952</v>
      </c>
      <c r="D283" s="5">
        <f>IF(A283="","",IFERROR(LOOKUP(2,1/(([1]العمليات!$B$2:$B$1000=A283)*([1]العمليات!$H$2:$H$1000&lt;&gt;"")),[1]العمليات!$H$2:$H$1000),""))</f>
        <v>3</v>
      </c>
      <c r="E283" s="5" t="str">
        <f>IF(A283="","",IFERROR(LOOKUP(2,1/(([1]العمليات!$B$2:$B$1000=A283)*([1]العمليات!$I$2:$I$1000&lt;&gt;"")),[1]العمليات!$I$2:$I$1000),""))</f>
        <v>2ط2</v>
      </c>
    </row>
    <row r="284" spans="1:5" x14ac:dyDescent="0.35">
      <c r="A284" s="3" t="s">
        <v>254</v>
      </c>
      <c r="B284" s="3" t="s">
        <v>255</v>
      </c>
      <c r="C284" s="4">
        <f>SUMIFS([1]العمليات!G:G, [1]العمليات!B:B, A284, [1]العمليات!C:C, "إدخال") - SUMIFS([1]العمليات!G:G, [1]العمليات!B:B, A284, [1]العمليات!C:C, "إخراج")</f>
        <v>756</v>
      </c>
      <c r="D284" s="3">
        <f>IF(A284="","",IFERROR(LOOKUP(2,1/(([1]العمليات!$B$2:$B$1000=A284)*([1]العمليات!$H$2:$H$1000&lt;&gt;"")),[1]العمليات!$H$2:$H$1000),""))</f>
        <v>1</v>
      </c>
      <c r="E284" s="3">
        <f>IF(A284="","",IFERROR(LOOKUP(2,1/(([1]العمليات!$B$2:$B$1000=A284)*([1]العمليات!$I$2:$I$1000&lt;&gt;"")),[1]العمليات!$I$2:$I$1000),""))</f>
        <v>6</v>
      </c>
    </row>
    <row r="285" spans="1:5" x14ac:dyDescent="0.35">
      <c r="A285" s="5" t="s">
        <v>692</v>
      </c>
      <c r="B285" s="5" t="s">
        <v>693</v>
      </c>
      <c r="C285" s="6">
        <f>SUMIFS([1]العمليات!G:G, [1]العمليات!B:B, A285, [1]العمليات!C:C, "إدخال") - SUMIFS([1]العمليات!G:G, [1]العمليات!B:B, A285, [1]العمليات!C:C, "إخراج")</f>
        <v>256</v>
      </c>
      <c r="D285" s="5" t="str">
        <f>IF(A285="","",IFERROR(LOOKUP(2,1/(([1]العمليات!$B$2:$B$1000=A285)*([1]العمليات!$H$2:$H$1000&lt;&gt;"")),[1]العمليات!$H$2:$H$1000),""))</f>
        <v/>
      </c>
      <c r="E285" s="5" t="str">
        <f>IF(A285="","",IFERROR(LOOKUP(2,1/(([1]العمليات!$B$2:$B$1000=A285)*([1]العمليات!$I$2:$I$1000&lt;&gt;"")),[1]العمليات!$I$2:$I$1000),""))</f>
        <v/>
      </c>
    </row>
    <row r="286" spans="1:5" x14ac:dyDescent="0.35">
      <c r="A286" s="3" t="s">
        <v>256</v>
      </c>
      <c r="B286" s="3" t="s">
        <v>257</v>
      </c>
      <c r="C286" s="4">
        <f>SUMIFS([1]العمليات!G:G, [1]العمليات!B:B, A286, [1]العمليات!C:C, "إدخال") - SUMIFS([1]العمليات!G:G, [1]العمليات!B:B, A286, [1]العمليات!C:C, "إخراج")</f>
        <v>1211</v>
      </c>
      <c r="D286" s="3">
        <f>IF(A286="","",IFERROR(LOOKUP(2,1/(([1]العمليات!$B$2:$B$1000=A286)*([1]العمليات!$H$2:$H$1000&lt;&gt;"")),[1]العمليات!$H$2:$H$1000),""))</f>
        <v>4</v>
      </c>
      <c r="E286" s="3">
        <f>IF(A286="","",IFERROR(LOOKUP(2,1/(([1]العمليات!$B$2:$B$1000=A286)*([1]العمليات!$I$2:$I$1000&lt;&gt;"")),[1]العمليات!$I$2:$I$1000),""))</f>
        <v>3</v>
      </c>
    </row>
    <row r="287" spans="1:5" x14ac:dyDescent="0.35">
      <c r="A287" s="5" t="s">
        <v>258</v>
      </c>
      <c r="B287" s="5" t="s">
        <v>259</v>
      </c>
      <c r="C287" s="6">
        <f>SUMIFS([1]العمليات!G:G, [1]العمليات!B:B, A287, [1]العمليات!C:C, "إدخال") - SUMIFS([1]العمليات!G:G, [1]العمليات!B:B, A287, [1]العمليات!C:C, "إخراج")</f>
        <v>383</v>
      </c>
      <c r="D287" s="5">
        <f>IF(A287="","",IFERROR(LOOKUP(2,1/(([1]العمليات!$B$2:$B$1000=A287)*([1]العمليات!$H$2:$H$1000&lt;&gt;"")),[1]العمليات!$H$2:$H$1000),""))</f>
        <v>2</v>
      </c>
      <c r="E287" s="5">
        <f>IF(A287="","",IFERROR(LOOKUP(2,1/(([1]العمليات!$B$2:$B$1000=A287)*([1]العمليات!$I$2:$I$1000&lt;&gt;"")),[1]العمليات!$I$2:$I$1000),""))</f>
        <v>6</v>
      </c>
    </row>
    <row r="288" spans="1:5" x14ac:dyDescent="0.35">
      <c r="A288" s="3" t="s">
        <v>694</v>
      </c>
      <c r="B288" s="3" t="s">
        <v>695</v>
      </c>
      <c r="C288" s="4">
        <f>SUMIFS([1]العمليات!G:G, [1]العمليات!B:B, A288, [1]العمليات!C:C, "إدخال") - SUMIFS([1]العمليات!G:G, [1]العمليات!B:B, A288, [1]العمليات!C:C, "إخراج")</f>
        <v>158</v>
      </c>
      <c r="D288" s="3" t="str">
        <f>IF(A288="","",IFERROR(LOOKUP(2,1/(([1]العمليات!$B$2:$B$1000=A288)*([1]العمليات!$H$2:$H$1000&lt;&gt;"")),[1]العمليات!$H$2:$H$1000),""))</f>
        <v/>
      </c>
      <c r="E288" s="3" t="str">
        <f>IF(A288="","",IFERROR(LOOKUP(2,1/(([1]العمليات!$B$2:$B$1000=A288)*([1]العمليات!$I$2:$I$1000&lt;&gt;"")),[1]العمليات!$I$2:$I$1000),""))</f>
        <v/>
      </c>
    </row>
    <row r="289" spans="1:5" x14ac:dyDescent="0.35">
      <c r="A289" s="5" t="s">
        <v>696</v>
      </c>
      <c r="B289" s="5" t="s">
        <v>697</v>
      </c>
      <c r="C289" s="6">
        <f>SUMIFS([1]العمليات!G:G, [1]العمليات!B:B, A289, [1]العمليات!C:C, "إدخال") - SUMIFS([1]العمليات!G:G, [1]العمليات!B:B, A289, [1]العمليات!C:C, "إخراج")</f>
        <v>0</v>
      </c>
      <c r="D289" s="5" t="str">
        <f>IF(A289="","",IFERROR(LOOKUP(2,1/(([1]العمليات!$B$2:$B$1000=A289)*([1]العمليات!$H$2:$H$1000&lt;&gt;"")),[1]العمليات!$H$2:$H$1000),""))</f>
        <v/>
      </c>
      <c r="E289" s="5" t="str">
        <f>IF(A289="","",IFERROR(LOOKUP(2,1/(([1]العمليات!$B$2:$B$1000=A289)*([1]العمليات!$I$2:$I$1000&lt;&gt;"")),[1]العمليات!$I$2:$I$1000),""))</f>
        <v/>
      </c>
    </row>
    <row r="290" spans="1:5" x14ac:dyDescent="0.35">
      <c r="A290" s="3" t="s">
        <v>698</v>
      </c>
      <c r="B290" s="3" t="s">
        <v>699</v>
      </c>
      <c r="C290" s="4">
        <f>SUMIFS([1]العمليات!G:G, [1]العمليات!B:B, A290, [1]العمليات!C:C, "إدخال") - SUMIFS([1]العمليات!G:G, [1]العمليات!B:B, A290, [1]العمليات!C:C, "إخراج")</f>
        <v>277</v>
      </c>
      <c r="D290" s="3" t="str">
        <f>IF(A290="","",IFERROR(LOOKUP(2,1/(([1]العمليات!$B$2:$B$1000=A290)*([1]العمليات!$H$2:$H$1000&lt;&gt;"")),[1]العمليات!$H$2:$H$1000),""))</f>
        <v/>
      </c>
      <c r="E290" s="3" t="str">
        <f>IF(A290="","",IFERROR(LOOKUP(2,1/(([1]العمليات!$B$2:$B$1000=A290)*([1]العمليات!$I$2:$I$1000&lt;&gt;"")),[1]العمليات!$I$2:$I$1000),""))</f>
        <v/>
      </c>
    </row>
    <row r="291" spans="1:5" x14ac:dyDescent="0.35">
      <c r="A291" s="5" t="s">
        <v>700</v>
      </c>
      <c r="B291" s="5" t="s">
        <v>701</v>
      </c>
      <c r="C291" s="6">
        <f>SUMIFS([1]العمليات!G:G, [1]العمليات!B:B, A291, [1]العمليات!C:C, "إدخال") - SUMIFS([1]العمليات!G:G, [1]العمليات!B:B, A291, [1]العمليات!C:C, "إخراج")</f>
        <v>18</v>
      </c>
      <c r="D291" s="5" t="str">
        <f>IF(A291="","",IFERROR(LOOKUP(2,1/(([1]العمليات!$B$2:$B$1000=A291)*([1]العمليات!$H$2:$H$1000&lt;&gt;"")),[1]العمليات!$H$2:$H$1000),""))</f>
        <v/>
      </c>
      <c r="E291" s="5" t="str">
        <f>IF(A291="","",IFERROR(LOOKUP(2,1/(([1]العمليات!$B$2:$B$1000=A291)*([1]العمليات!$I$2:$I$1000&lt;&gt;"")),[1]العمليات!$I$2:$I$1000),""))</f>
        <v/>
      </c>
    </row>
    <row r="292" spans="1:5" x14ac:dyDescent="0.35">
      <c r="A292" s="3" t="s">
        <v>702</v>
      </c>
      <c r="B292" s="3" t="s">
        <v>703</v>
      </c>
      <c r="C292" s="4">
        <f>SUMIFS([1]العمليات!G:G, [1]العمليات!B:B, A292, [1]العمليات!C:C, "إدخال") - SUMIFS([1]العمليات!G:G, [1]العمليات!B:B, A292, [1]العمليات!C:C, "إخراج")</f>
        <v>500</v>
      </c>
      <c r="D292" s="3" t="str">
        <f>IF(A292="","",IFERROR(LOOKUP(2,1/(([1]العمليات!$B$2:$B$1000=A292)*([1]العمليات!$H$2:$H$1000&lt;&gt;"")),[1]العمليات!$H$2:$H$1000),""))</f>
        <v/>
      </c>
      <c r="E292" s="3" t="str">
        <f>IF(A292="","",IFERROR(LOOKUP(2,1/(([1]العمليات!$B$2:$B$1000=A292)*([1]العمليات!$I$2:$I$1000&lt;&gt;"")),[1]العمليات!$I$2:$I$1000),""))</f>
        <v/>
      </c>
    </row>
    <row r="293" spans="1:5" x14ac:dyDescent="0.35">
      <c r="A293" s="5" t="s">
        <v>704</v>
      </c>
      <c r="B293" s="5" t="s">
        <v>705</v>
      </c>
      <c r="C293" s="6">
        <f>SUMIFS([1]العمليات!G:G, [1]العمليات!B:B, A293, [1]العمليات!C:C, "إدخال") - SUMIFS([1]العمليات!G:G, [1]العمليات!B:B, A293, [1]العمليات!C:C, "إخراج")</f>
        <v>0</v>
      </c>
      <c r="D293" s="5" t="str">
        <f>IF(A293="","",IFERROR(LOOKUP(2,1/(([1]العمليات!$B$2:$B$1000=A293)*([1]العمليات!$H$2:$H$1000&lt;&gt;"")),[1]العمليات!$H$2:$H$1000),""))</f>
        <v/>
      </c>
      <c r="E293" s="5" t="str">
        <f>IF(A293="","",IFERROR(LOOKUP(2,1/(([1]العمليات!$B$2:$B$1000=A293)*([1]العمليات!$I$2:$I$1000&lt;&gt;"")),[1]العمليات!$I$2:$I$1000),""))</f>
        <v/>
      </c>
    </row>
    <row r="294" spans="1:5" x14ac:dyDescent="0.35">
      <c r="A294" s="3" t="s">
        <v>260</v>
      </c>
      <c r="B294" s="3" t="s">
        <v>261</v>
      </c>
      <c r="C294" s="4">
        <f>SUMIFS([1]العمليات!G:G, [1]العمليات!B:B, A294, [1]العمليات!C:C, "إدخال") - SUMIFS([1]العمليات!G:G, [1]العمليات!B:B, A294, [1]العمليات!C:C, "إخراج")</f>
        <v>709</v>
      </c>
      <c r="D294" s="3">
        <f>IF(A294="","",IFERROR(LOOKUP(2,1/(([1]العمليات!$B$2:$B$1000=A294)*([1]العمليات!$H$2:$H$1000&lt;&gt;"")),[1]العمليات!$H$2:$H$1000),""))</f>
        <v>3</v>
      </c>
      <c r="E294" s="3">
        <f>IF(A294="","",IFERROR(LOOKUP(2,1/(([1]العمليات!$B$2:$B$1000=A294)*([1]العمليات!$I$2:$I$1000&lt;&gt;"")),[1]العمليات!$I$2:$I$1000),""))</f>
        <v>4</v>
      </c>
    </row>
    <row r="295" spans="1:5" x14ac:dyDescent="0.35">
      <c r="A295" s="5" t="s">
        <v>262</v>
      </c>
      <c r="B295" s="5" t="s">
        <v>263</v>
      </c>
      <c r="C295" s="6">
        <f>SUMIFS([1]العمليات!G:G, [1]العمليات!B:B, A295, [1]العمليات!C:C, "إدخال") - SUMIFS([1]العمليات!G:G, [1]العمليات!B:B, A295, [1]العمليات!C:C, "إخراج")</f>
        <v>764</v>
      </c>
      <c r="D295" s="5">
        <f>IF(A295="","",IFERROR(LOOKUP(2,1/(([1]العمليات!$B$2:$B$1000=A295)*([1]العمليات!$H$2:$H$1000&lt;&gt;"")),[1]العمليات!$H$2:$H$1000),""))</f>
        <v>1</v>
      </c>
      <c r="E295" s="5">
        <f>IF(A295="","",IFERROR(LOOKUP(2,1/(([1]العمليات!$B$2:$B$1000=A295)*([1]العمليات!$I$2:$I$1000&lt;&gt;"")),[1]العمليات!$I$2:$I$1000),""))</f>
        <v>6</v>
      </c>
    </row>
    <row r="296" spans="1:5" x14ac:dyDescent="0.35">
      <c r="A296" s="3" t="s">
        <v>706</v>
      </c>
      <c r="B296" s="3" t="s">
        <v>707</v>
      </c>
      <c r="C296" s="4">
        <f>SUMIFS([1]العمليات!G:G, [1]العمليات!B:B, A296, [1]العمليات!C:C, "إدخال") - SUMIFS([1]العمليات!G:G, [1]العمليات!B:B, A296, [1]العمليات!C:C, "إخراج")</f>
        <v>333</v>
      </c>
      <c r="D296" s="3" t="str">
        <f>IF(A296="","",IFERROR(LOOKUP(2,1/(([1]العمليات!$B$2:$B$1000=A296)*([1]العمليات!$H$2:$H$1000&lt;&gt;"")),[1]العمليات!$H$2:$H$1000),""))</f>
        <v/>
      </c>
      <c r="E296" s="3" t="str">
        <f>IF(A296="","",IFERROR(LOOKUP(2,1/(([1]العمليات!$B$2:$B$1000=A296)*([1]العمليات!$I$2:$I$1000&lt;&gt;"")),[1]العمليات!$I$2:$I$1000),""))</f>
        <v/>
      </c>
    </row>
    <row r="297" spans="1:5" x14ac:dyDescent="0.35">
      <c r="A297" s="5" t="s">
        <v>264</v>
      </c>
      <c r="B297" s="5" t="s">
        <v>265</v>
      </c>
      <c r="C297" s="6">
        <f>SUMIFS([1]العمليات!G:G, [1]العمليات!B:B, A297, [1]العمليات!C:C, "إدخال") - SUMIFS([1]العمليات!G:G, [1]العمليات!B:B, A297, [1]العمليات!C:C, "إخراج")</f>
        <v>1557</v>
      </c>
      <c r="D297" s="5">
        <f>IF(A297="","",IFERROR(LOOKUP(2,1/(([1]العمليات!$B$2:$B$1000=A297)*([1]العمليات!$H$2:$H$1000&lt;&gt;"")),[1]العمليات!$H$2:$H$1000),""))</f>
        <v>1</v>
      </c>
      <c r="E297" s="5">
        <f>IF(A297="","",IFERROR(LOOKUP(2,1/(([1]العمليات!$B$2:$B$1000=A297)*([1]العمليات!$I$2:$I$1000&lt;&gt;"")),[1]العمليات!$I$2:$I$1000),""))</f>
        <v>3</v>
      </c>
    </row>
    <row r="298" spans="1:5" x14ac:dyDescent="0.35">
      <c r="A298" s="3" t="s">
        <v>708</v>
      </c>
      <c r="B298" s="3" t="s">
        <v>709</v>
      </c>
      <c r="C298" s="4">
        <f>SUMIFS([1]العمليات!G:G, [1]العمليات!B:B, A298, [1]العمليات!C:C, "إدخال") - SUMIFS([1]العمليات!G:G, [1]العمليات!B:B, A298, [1]العمليات!C:C, "إخراج")</f>
        <v>179</v>
      </c>
      <c r="D298" s="3" t="str">
        <f>IF(A298="","",IFERROR(LOOKUP(2,1/(([1]العمليات!$B$2:$B$1000=A298)*([1]العمليات!$H$2:$H$1000&lt;&gt;"")),[1]العمليات!$H$2:$H$1000),""))</f>
        <v/>
      </c>
      <c r="E298" s="3" t="str">
        <f>IF(A298="","",IFERROR(LOOKUP(2,1/(([1]العمليات!$B$2:$B$1000=A298)*([1]العمليات!$I$2:$I$1000&lt;&gt;"")),[1]العمليات!$I$2:$I$1000),""))</f>
        <v/>
      </c>
    </row>
    <row r="299" spans="1:5" x14ac:dyDescent="0.35">
      <c r="A299" s="5" t="s">
        <v>266</v>
      </c>
      <c r="B299" s="5" t="s">
        <v>267</v>
      </c>
      <c r="C299" s="6">
        <f>SUMIFS([1]العمليات!G:G, [1]العمليات!B:B, A299, [1]العمليات!C:C, "إدخال") - SUMIFS([1]العمليات!G:G, [1]العمليات!B:B, A299, [1]العمليات!C:C, "إخراج")</f>
        <v>257</v>
      </c>
      <c r="D299" s="5">
        <f>IF(A299="","",IFERROR(LOOKUP(2,1/(([1]العمليات!$B$2:$B$1000=A299)*([1]العمليات!$H$2:$H$1000&lt;&gt;"")),[1]العمليات!$H$2:$H$1000),""))</f>
        <v>3</v>
      </c>
      <c r="E299" s="5">
        <f>IF(A299="","",IFERROR(LOOKUP(2,1/(([1]العمليات!$B$2:$B$1000=A299)*([1]العمليات!$I$2:$I$1000&lt;&gt;"")),[1]العمليات!$I$2:$I$1000),""))</f>
        <v>6</v>
      </c>
    </row>
    <row r="300" spans="1:5" x14ac:dyDescent="0.35">
      <c r="A300" s="3" t="s">
        <v>268</v>
      </c>
      <c r="B300" s="3" t="s">
        <v>269</v>
      </c>
      <c r="C300" s="4">
        <f>SUMIFS([1]العمليات!G:G, [1]العمليات!B:B, A300, [1]العمليات!C:C, "إدخال") - SUMIFS([1]العمليات!G:G, [1]العمليات!B:B, A300, [1]العمليات!C:C, "إخراج")</f>
        <v>627</v>
      </c>
      <c r="D300" s="3">
        <f>IF(A300="","",IFERROR(LOOKUP(2,1/(([1]العمليات!$B$2:$B$1000=A300)*([1]العمليات!$H$2:$H$1000&lt;&gt;"")),[1]العمليات!$H$2:$H$1000),""))</f>
        <v>6</v>
      </c>
      <c r="E300" s="3">
        <f>IF(A300="","",IFERROR(LOOKUP(2,1/(([1]العمليات!$B$2:$B$1000=A300)*([1]العمليات!$I$2:$I$1000&lt;&gt;"")),[1]العمليات!$I$2:$I$1000),""))</f>
        <v>5</v>
      </c>
    </row>
    <row r="301" spans="1:5" x14ac:dyDescent="0.35">
      <c r="A301" s="5" t="s">
        <v>710</v>
      </c>
      <c r="B301" s="5" t="s">
        <v>711</v>
      </c>
      <c r="C301" s="6">
        <f>SUMIFS([1]العمليات!G:G, [1]العمليات!B:B, A301, [1]العمليات!C:C, "إدخال") - SUMIFS([1]العمليات!G:G, [1]العمليات!B:B, A301, [1]العمليات!C:C, "إخراج")</f>
        <v>1123</v>
      </c>
      <c r="D301" s="5">
        <f>IF(A301="","",IFERROR(LOOKUP(2,1/(([1]العمليات!$B$2:$B$1000=A301)*([1]العمليات!$H$2:$H$1000&lt;&gt;"")),[1]العمليات!$H$2:$H$1000),""))</f>
        <v>2</v>
      </c>
      <c r="E301" s="5">
        <f>IF(A301="","",IFERROR(LOOKUP(2,1/(([1]العمليات!$B$2:$B$1000=A301)*([1]العمليات!$I$2:$I$1000&lt;&gt;"")),[1]العمليات!$I$2:$I$1000),""))</f>
        <v>1</v>
      </c>
    </row>
    <row r="302" spans="1:5" x14ac:dyDescent="0.35">
      <c r="A302" s="3" t="s">
        <v>270</v>
      </c>
      <c r="B302" s="3" t="s">
        <v>271</v>
      </c>
      <c r="C302" s="4">
        <f>SUMIFS([1]العمليات!G:G, [1]العمليات!B:B, A302, [1]العمليات!C:C, "إدخال") - SUMIFS([1]العمليات!G:G, [1]العمليات!B:B, A302, [1]العمليات!C:C, "إخراج")</f>
        <v>471</v>
      </c>
      <c r="D302" s="3">
        <f>IF(A302="","",IFERROR(LOOKUP(2,1/(([1]العمليات!$B$2:$B$1000=A302)*([1]العمليات!$H$2:$H$1000&lt;&gt;"")),[1]العمليات!$H$2:$H$1000),""))</f>
        <v>2</v>
      </c>
      <c r="E302" s="3">
        <f>IF(A302="","",IFERROR(LOOKUP(2,1/(([1]العمليات!$B$2:$B$1000=A302)*([1]العمليات!$I$2:$I$1000&lt;&gt;"")),[1]العمليات!$I$2:$I$1000),""))</f>
        <v>5</v>
      </c>
    </row>
    <row r="303" spans="1:5" x14ac:dyDescent="0.35">
      <c r="A303" s="5" t="s">
        <v>712</v>
      </c>
      <c r="B303" s="5" t="s">
        <v>713</v>
      </c>
      <c r="C303" s="6">
        <f>SUMIFS([1]العمليات!G:G, [1]العمليات!B:B, A303, [1]العمليات!C:C, "إدخال") - SUMIFS([1]العمليات!G:G, [1]العمليات!B:B, A303, [1]العمليات!C:C, "إخراج")</f>
        <v>250</v>
      </c>
      <c r="D303" s="5" t="str">
        <f>IF(A303="","",IFERROR(LOOKUP(2,1/(([1]العمليات!$B$2:$B$1000=A303)*([1]العمليات!$H$2:$H$1000&lt;&gt;"")),[1]العمليات!$H$2:$H$1000),""))</f>
        <v/>
      </c>
      <c r="E303" s="5" t="str">
        <f>IF(A303="","",IFERROR(LOOKUP(2,1/(([1]العمليات!$B$2:$B$1000=A303)*([1]العمليات!$I$2:$I$1000&lt;&gt;"")),[1]العمليات!$I$2:$I$1000),""))</f>
        <v/>
      </c>
    </row>
    <row r="304" spans="1:5" x14ac:dyDescent="0.35">
      <c r="A304" s="3" t="s">
        <v>272</v>
      </c>
      <c r="B304" s="3" t="s">
        <v>273</v>
      </c>
      <c r="C304" s="4">
        <f>SUMIFS([1]العمليات!G:G, [1]العمليات!B:B, A304, [1]العمليات!C:C, "إدخال") - SUMIFS([1]العمليات!G:G, [1]العمليات!B:B, A304, [1]العمليات!C:C, "إخراج")</f>
        <v>653</v>
      </c>
      <c r="D304" s="3">
        <f>IF(A304="","",IFERROR(LOOKUP(2,1/(([1]العمليات!$B$2:$B$1000=A304)*([1]العمليات!$H$2:$H$1000&lt;&gt;"")),[1]العمليات!$H$2:$H$1000),""))</f>
        <v>6</v>
      </c>
      <c r="E304" s="3">
        <f>IF(A304="","",IFERROR(LOOKUP(2,1/(([1]العمليات!$B$2:$B$1000=A304)*([1]العمليات!$I$2:$I$1000&lt;&gt;"")),[1]العمليات!$I$2:$I$1000),""))</f>
        <v>6</v>
      </c>
    </row>
    <row r="305" spans="1:5" x14ac:dyDescent="0.35">
      <c r="A305" s="5" t="s">
        <v>274</v>
      </c>
      <c r="B305" s="5" t="s">
        <v>275</v>
      </c>
      <c r="C305" s="6">
        <f>SUMIFS([1]العمليات!G:G, [1]العمليات!B:B, A305, [1]العمليات!C:C, "إدخال") - SUMIFS([1]العمليات!G:G, [1]العمليات!B:B, A305, [1]العمليات!C:C, "إخراج")</f>
        <v>502</v>
      </c>
      <c r="D305" s="5">
        <f>IF(A305="","",IFERROR(LOOKUP(2,1/(([1]العمليات!$B$2:$B$1000=A305)*([1]العمليات!$H$2:$H$1000&lt;&gt;"")),[1]العمليات!$H$2:$H$1000),""))</f>
        <v>2</v>
      </c>
      <c r="E305" s="5">
        <f>IF(A305="","",IFERROR(LOOKUP(2,1/(([1]العمليات!$B$2:$B$1000=A305)*([1]العمليات!$I$2:$I$1000&lt;&gt;"")),[1]العمليات!$I$2:$I$1000),""))</f>
        <v>6</v>
      </c>
    </row>
    <row r="306" spans="1:5" x14ac:dyDescent="0.35">
      <c r="A306" s="3" t="s">
        <v>714</v>
      </c>
      <c r="B306" s="3" t="s">
        <v>715</v>
      </c>
      <c r="C306" s="4">
        <f>SUMIFS([1]العمليات!G:G, [1]العمليات!B:B, A306, [1]العمليات!C:C, "إدخال") - SUMIFS([1]العمليات!G:G, [1]العمليات!B:B, A306, [1]العمليات!C:C, "إخراج")</f>
        <v>214</v>
      </c>
      <c r="D306" s="3" t="str">
        <f>IF(A306="","",IFERROR(LOOKUP(2,1/(([1]العمليات!$B$2:$B$1000=A306)*([1]العمليات!$H$2:$H$1000&lt;&gt;"")),[1]العمليات!$H$2:$H$1000),""))</f>
        <v/>
      </c>
      <c r="E306" s="3" t="str">
        <f>IF(A306="","",IFERROR(LOOKUP(2,1/(([1]العمليات!$B$2:$B$1000=A306)*([1]العمليات!$I$2:$I$1000&lt;&gt;"")),[1]العمليات!$I$2:$I$1000),""))</f>
        <v/>
      </c>
    </row>
    <row r="307" spans="1:5" x14ac:dyDescent="0.35">
      <c r="A307" s="5" t="s">
        <v>276</v>
      </c>
      <c r="B307" s="5" t="s">
        <v>277</v>
      </c>
      <c r="C307" s="6">
        <f>SUMIFS([1]العمليات!G:G, [1]العمليات!B:B, A307, [1]العمليات!C:C, "إدخال") - SUMIFS([1]العمليات!G:G, [1]العمليات!B:B, A307, [1]العمليات!C:C, "إخراج")</f>
        <v>2394</v>
      </c>
      <c r="D307" s="5">
        <f>IF(A307="","",IFERROR(LOOKUP(2,1/(([1]العمليات!$B$2:$B$1000=A307)*([1]العمليات!$H$2:$H$1000&lt;&gt;"")),[1]العمليات!$H$2:$H$1000),""))</f>
        <v>5</v>
      </c>
      <c r="E307" s="5">
        <f>IF(A307="","",IFERROR(LOOKUP(2,1/(([1]العمليات!$B$2:$B$1000=A307)*([1]العمليات!$I$2:$I$1000&lt;&gt;"")),[1]العمليات!$I$2:$I$1000),""))</f>
        <v>3</v>
      </c>
    </row>
    <row r="308" spans="1:5" x14ac:dyDescent="0.35">
      <c r="A308" s="3" t="s">
        <v>278</v>
      </c>
      <c r="B308" s="3" t="s">
        <v>279</v>
      </c>
      <c r="C308" s="4">
        <f>SUMIFS([1]العمليات!G:G, [1]العمليات!B:B, A308, [1]العمليات!C:C, "إدخال") - SUMIFS([1]العمليات!G:G, [1]العمليات!B:B, A308, [1]العمليات!C:C, "إخراج")</f>
        <v>427</v>
      </c>
      <c r="D308" s="3">
        <f>IF(A308="","",IFERROR(LOOKUP(2,1/(([1]العمليات!$B$2:$B$1000=A308)*([1]العمليات!$H$2:$H$1000&lt;&gt;"")),[1]العمليات!$H$2:$H$1000),""))</f>
        <v>6</v>
      </c>
      <c r="E308" s="3">
        <f>IF(A308="","",IFERROR(LOOKUP(2,1/(([1]العمليات!$B$2:$B$1000=A308)*([1]العمليات!$I$2:$I$1000&lt;&gt;"")),[1]العمليات!$I$2:$I$1000),""))</f>
        <v>4</v>
      </c>
    </row>
    <row r="309" spans="1:5" x14ac:dyDescent="0.35">
      <c r="A309" s="5" t="s">
        <v>716</v>
      </c>
      <c r="B309" s="5" t="s">
        <v>717</v>
      </c>
      <c r="C309" s="6">
        <f>SUMIFS([1]العمليات!G:G, [1]العمليات!B:B, A309, [1]العمليات!C:C, "إدخال") - SUMIFS([1]العمليات!G:G, [1]العمليات!B:B, A309, [1]العمليات!C:C, "إخراج")</f>
        <v>389</v>
      </c>
      <c r="D309" s="5" t="str">
        <f>IF(A309="","",IFERROR(LOOKUP(2,1/(([1]العمليات!$B$2:$B$1000=A309)*([1]العمليات!$H$2:$H$1000&lt;&gt;"")),[1]العمليات!$H$2:$H$1000),""))</f>
        <v/>
      </c>
      <c r="E309" s="5" t="str">
        <f>IF(A309="","",IFERROR(LOOKUP(2,1/(([1]العمليات!$B$2:$B$1000=A309)*([1]العمليات!$I$2:$I$1000&lt;&gt;"")),[1]العمليات!$I$2:$I$1000),""))</f>
        <v/>
      </c>
    </row>
    <row r="310" spans="1:5" x14ac:dyDescent="0.35">
      <c r="A310" s="3" t="s">
        <v>280</v>
      </c>
      <c r="B310" s="3" t="s">
        <v>281</v>
      </c>
      <c r="C310" s="4">
        <f>SUMIFS([1]العمليات!G:G, [1]العمليات!B:B, A310, [1]العمليات!C:C, "إدخال") - SUMIFS([1]العمليات!G:G, [1]العمليات!B:B, A310, [1]العمليات!C:C, "إخراج")</f>
        <v>269</v>
      </c>
      <c r="D310" s="3">
        <f>IF(A310="","",IFERROR(LOOKUP(2,1/(([1]العمليات!$B$2:$B$1000=A310)*([1]العمليات!$H$2:$H$1000&lt;&gt;"")),[1]العمليات!$H$2:$H$1000),""))</f>
        <v>2</v>
      </c>
      <c r="E310" s="3">
        <f>IF(A310="","",IFERROR(LOOKUP(2,1/(([1]العمليات!$B$2:$B$1000=A310)*([1]العمليات!$I$2:$I$1000&lt;&gt;"")),[1]العمليات!$I$2:$I$1000),""))</f>
        <v>1</v>
      </c>
    </row>
    <row r="311" spans="1:5" x14ac:dyDescent="0.35">
      <c r="A311" s="5" t="s">
        <v>282</v>
      </c>
      <c r="B311" s="5" t="s">
        <v>283</v>
      </c>
      <c r="C311" s="6">
        <f>SUMIFS([1]العمليات!G:G, [1]العمليات!B:B, A311, [1]العمليات!C:C, "إدخال") - SUMIFS([1]العمليات!G:G, [1]العمليات!B:B, A311, [1]العمليات!C:C, "إخراج")</f>
        <v>872</v>
      </c>
      <c r="D311" s="5">
        <f>IF(A311="","",IFERROR(LOOKUP(2,1/(([1]العمليات!$B$2:$B$1000=A311)*([1]العمليات!$H$2:$H$1000&lt;&gt;"")),[1]العمليات!$H$2:$H$1000),""))</f>
        <v>2</v>
      </c>
      <c r="E311" s="5">
        <f>IF(A311="","",IFERROR(LOOKUP(2,1/(([1]العمليات!$B$2:$B$1000=A311)*([1]العمليات!$I$2:$I$1000&lt;&gt;"")),[1]العمليات!$I$2:$I$1000),""))</f>
        <v>5</v>
      </c>
    </row>
    <row r="312" spans="1:5" x14ac:dyDescent="0.35">
      <c r="A312" s="3" t="s">
        <v>284</v>
      </c>
      <c r="B312" s="3" t="s">
        <v>285</v>
      </c>
      <c r="C312" s="4">
        <f>SUMIFS([1]العمليات!G:G, [1]العمليات!B:B, A312, [1]العمليات!C:C, "إدخال") - SUMIFS([1]العمليات!G:G, [1]العمليات!B:B, A312, [1]العمليات!C:C, "إخراج")</f>
        <v>1071</v>
      </c>
      <c r="D312" s="3">
        <f>IF(A312="","",IFERROR(LOOKUP(2,1/(([1]العمليات!$B$2:$B$1000=A312)*([1]العمليات!$H$2:$H$1000&lt;&gt;"")),[1]العمليات!$H$2:$H$1000),""))</f>
        <v>5</v>
      </c>
      <c r="E312" s="3">
        <f>IF(A312="","",IFERROR(LOOKUP(2,1/(([1]العمليات!$B$2:$B$1000=A312)*([1]العمليات!$I$2:$I$1000&lt;&gt;"")),[1]العمليات!$I$2:$I$1000),""))</f>
        <v>5</v>
      </c>
    </row>
    <row r="313" spans="1:5" x14ac:dyDescent="0.35">
      <c r="A313" s="5" t="s">
        <v>718</v>
      </c>
      <c r="B313" s="5" t="s">
        <v>719</v>
      </c>
      <c r="C313" s="6">
        <f>SUMIFS([1]العمليات!G:G, [1]العمليات!B:B, A313, [1]العمليات!C:C, "إدخال") - SUMIFS([1]العمليات!G:G, [1]العمليات!B:B, A313, [1]العمليات!C:C, "إخراج")</f>
        <v>0</v>
      </c>
      <c r="D313" s="5" t="str">
        <f>IF(A313="","",IFERROR(LOOKUP(2,1/(([1]العمليات!$B$2:$B$1000=A313)*([1]العمليات!$H$2:$H$1000&lt;&gt;"")),[1]العمليات!$H$2:$H$1000),""))</f>
        <v/>
      </c>
      <c r="E313" s="5" t="str">
        <f>IF(A313="","",IFERROR(LOOKUP(2,1/(([1]العمليات!$B$2:$B$1000=A313)*([1]العمليات!$I$2:$I$1000&lt;&gt;"")),[1]العمليات!$I$2:$I$1000),""))</f>
        <v/>
      </c>
    </row>
    <row r="314" spans="1:5" x14ac:dyDescent="0.35">
      <c r="A314" s="3" t="s">
        <v>286</v>
      </c>
      <c r="B314" s="3" t="s">
        <v>287</v>
      </c>
      <c r="C314" s="4">
        <f>SUMIFS([1]العمليات!G:G, [1]العمليات!B:B, A314, [1]العمليات!C:C, "إدخال") - SUMIFS([1]العمليات!G:G, [1]العمليات!B:B, A314, [1]العمليات!C:C, "إخراج")</f>
        <v>982</v>
      </c>
      <c r="D314" s="3">
        <f>IF(A314="","",IFERROR(LOOKUP(2,1/(([1]العمليات!$B$2:$B$1000=A314)*([1]العمليات!$H$2:$H$1000&lt;&gt;"")),[1]العمليات!$H$2:$H$1000),""))</f>
        <v>6</v>
      </c>
      <c r="E314" s="3">
        <f>IF(A314="","",IFERROR(LOOKUP(2,1/(([1]العمليات!$B$2:$B$1000=A314)*([1]العمليات!$I$2:$I$1000&lt;&gt;"")),[1]العمليات!$I$2:$I$1000),""))</f>
        <v>4</v>
      </c>
    </row>
    <row r="315" spans="1:5" x14ac:dyDescent="0.35">
      <c r="A315" s="5" t="s">
        <v>720</v>
      </c>
      <c r="B315" s="5" t="s">
        <v>721</v>
      </c>
      <c r="C315" s="6">
        <f>SUMIFS([1]العمليات!G:G, [1]العمليات!B:B, A315, [1]العمليات!C:C, "إدخال") - SUMIFS([1]العمليات!G:G, [1]العمليات!B:B, A315, [1]العمليات!C:C, "إخراج")</f>
        <v>71</v>
      </c>
      <c r="D315" s="5" t="str">
        <f>IF(A315="","",IFERROR(LOOKUP(2,1/(([1]العمليات!$B$2:$B$1000=A315)*([1]العمليات!$H$2:$H$1000&lt;&gt;"")),[1]العمليات!$H$2:$H$1000),""))</f>
        <v/>
      </c>
      <c r="E315" s="5" t="str">
        <f>IF(A315="","",IFERROR(LOOKUP(2,1/(([1]العمليات!$B$2:$B$1000=A315)*([1]العمليات!$I$2:$I$1000&lt;&gt;"")),[1]العمليات!$I$2:$I$1000),""))</f>
        <v/>
      </c>
    </row>
    <row r="316" spans="1:5" x14ac:dyDescent="0.35">
      <c r="A316" s="3" t="s">
        <v>288</v>
      </c>
      <c r="B316" s="3" t="s">
        <v>289</v>
      </c>
      <c r="C316" s="4">
        <f>SUMIFS([1]العمليات!G:G, [1]العمليات!B:B, A316, [1]العمليات!C:C, "إدخال") - SUMIFS([1]العمليات!G:G, [1]العمليات!B:B, A316, [1]العمليات!C:C, "إخراج")</f>
        <v>1096</v>
      </c>
      <c r="D316" s="3">
        <f>IF(A316="","",IFERROR(LOOKUP(2,1/(([1]العمليات!$B$2:$B$1000=A316)*([1]العمليات!$H$2:$H$1000&lt;&gt;"")),[1]العمليات!$H$2:$H$1000),""))</f>
        <v>6</v>
      </c>
      <c r="E316" s="3">
        <f>IF(A316="","",IFERROR(LOOKUP(2,1/(([1]العمليات!$B$2:$B$1000=A316)*([1]العمليات!$I$2:$I$1000&lt;&gt;"")),[1]العمليات!$I$2:$I$1000),""))</f>
        <v>2</v>
      </c>
    </row>
    <row r="317" spans="1:5" x14ac:dyDescent="0.35">
      <c r="A317" s="5" t="s">
        <v>290</v>
      </c>
      <c r="B317" s="5" t="s">
        <v>291</v>
      </c>
      <c r="C317" s="6">
        <f>SUMIFS([1]العمليات!G:G, [1]العمليات!B:B, A317, [1]العمليات!C:C, "إدخال") - SUMIFS([1]العمليات!G:G, [1]العمليات!B:B, A317, [1]العمليات!C:C, "إخراج")</f>
        <v>938</v>
      </c>
      <c r="D317" s="5">
        <f>IF(A317="","",IFERROR(LOOKUP(2,1/(([1]العمليات!$B$2:$B$1000=A317)*([1]العمليات!$H$2:$H$1000&lt;&gt;"")),[1]العمليات!$H$2:$H$1000),""))</f>
        <v>6</v>
      </c>
      <c r="E317" s="5">
        <f>IF(A317="","",IFERROR(LOOKUP(2,1/(([1]العمليات!$B$2:$B$1000=A317)*([1]العمليات!$I$2:$I$1000&lt;&gt;"")),[1]العمليات!$I$2:$I$1000),""))</f>
        <v>4</v>
      </c>
    </row>
    <row r="318" spans="1:5" x14ac:dyDescent="0.35">
      <c r="A318" s="3" t="s">
        <v>292</v>
      </c>
      <c r="B318" s="3" t="s">
        <v>293</v>
      </c>
      <c r="C318" s="4">
        <f>SUMIFS([1]العمليات!G:G, [1]العمليات!B:B, A318, [1]العمليات!C:C, "إدخال") - SUMIFS([1]العمليات!G:G, [1]العمليات!B:B, A318, [1]العمليات!C:C, "إخراج")</f>
        <v>205</v>
      </c>
      <c r="D318" s="3">
        <f>IF(A318="","",IFERROR(LOOKUP(2,1/(([1]العمليات!$B$2:$B$1000=A318)*([1]العمليات!$H$2:$H$1000&lt;&gt;"")),[1]العمليات!$H$2:$H$1000),""))</f>
        <v>1</v>
      </c>
      <c r="E318" s="3">
        <f>IF(A318="","",IFERROR(LOOKUP(2,1/(([1]العمليات!$B$2:$B$1000=A318)*([1]العمليات!$I$2:$I$1000&lt;&gt;"")),[1]العمليات!$I$2:$I$1000),""))</f>
        <v>4</v>
      </c>
    </row>
    <row r="319" spans="1:5" x14ac:dyDescent="0.35">
      <c r="A319" s="5" t="s">
        <v>294</v>
      </c>
      <c r="B319" s="5" t="s">
        <v>295</v>
      </c>
      <c r="C319" s="6">
        <f>SUMIFS([1]العمليات!G:G, [1]العمليات!B:B, A319, [1]العمليات!C:C, "إدخال") - SUMIFS([1]العمليات!G:G, [1]العمليات!B:B, A319, [1]العمليات!C:C, "إخراج")</f>
        <v>833</v>
      </c>
      <c r="D319" s="5">
        <f>IF(A319="","",IFERROR(LOOKUP(2,1/(([1]العمليات!$B$2:$B$1000=A319)*([1]العمليات!$H$2:$H$1000&lt;&gt;"")),[1]العمليات!$H$2:$H$1000),""))</f>
        <v>5</v>
      </c>
      <c r="E319" s="5">
        <f>IF(A319="","",IFERROR(LOOKUP(2,1/(([1]العمليات!$B$2:$B$1000=A319)*([1]العمليات!$I$2:$I$1000&lt;&gt;"")),[1]العمليات!$I$2:$I$1000),""))</f>
        <v>1</v>
      </c>
    </row>
    <row r="320" spans="1:5" x14ac:dyDescent="0.35">
      <c r="A320" s="3" t="s">
        <v>296</v>
      </c>
      <c r="B320" s="3" t="s">
        <v>297</v>
      </c>
      <c r="C320" s="4">
        <f>SUMIFS([1]العمليات!G:G, [1]العمليات!B:B, A320, [1]العمليات!C:C, "إدخال") - SUMIFS([1]العمليات!G:G, [1]العمليات!B:B, A320, [1]العمليات!C:C, "إخراج")</f>
        <v>3351</v>
      </c>
      <c r="D320" s="3" t="str">
        <f>IF(A320="","",IFERROR(LOOKUP(2,1/(([1]العمليات!$B$2:$B$1000=A320)*([1]العمليات!$H$2:$H$1000&lt;&gt;"")),[1]العمليات!$H$2:$H$1000),""))</f>
        <v>مختوم ومسك</v>
      </c>
      <c r="E320" s="3" t="str">
        <f>IF(A320="","",IFERROR(LOOKUP(2,1/(([1]العمليات!$B$2:$B$1000=A320)*([1]العمليات!$I$2:$I$1000&lt;&gt;"")),[1]العمليات!$I$2:$I$1000),""))</f>
        <v>-</v>
      </c>
    </row>
    <row r="321" spans="1:5" x14ac:dyDescent="0.35">
      <c r="A321" s="5" t="s">
        <v>722</v>
      </c>
      <c r="B321" s="5" t="s">
        <v>723</v>
      </c>
      <c r="C321" s="6">
        <f>SUMIFS([1]العمليات!G:G, [1]العمليات!B:B, A321, [1]العمليات!C:C, "إدخال") - SUMIFS([1]العمليات!G:G, [1]العمليات!B:B, A321, [1]العمليات!C:C, "إخراج")</f>
        <v>289</v>
      </c>
      <c r="D321" s="5" t="str">
        <f>IF(A321="","",IFERROR(LOOKUP(2,1/(([1]العمليات!$B$2:$B$1000=A321)*([1]العمليات!$H$2:$H$1000&lt;&gt;"")),[1]العمليات!$H$2:$H$1000),""))</f>
        <v/>
      </c>
      <c r="E321" s="5" t="str">
        <f>IF(A321="","",IFERROR(LOOKUP(2,1/(([1]العمليات!$B$2:$B$1000=A321)*([1]العمليات!$I$2:$I$1000&lt;&gt;"")),[1]العمليات!$I$2:$I$1000),""))</f>
        <v/>
      </c>
    </row>
    <row r="322" spans="1:5" x14ac:dyDescent="0.35">
      <c r="A322" s="3" t="s">
        <v>724</v>
      </c>
      <c r="B322" s="3" t="s">
        <v>725</v>
      </c>
      <c r="C322" s="4">
        <f>SUMIFS([1]العمليات!G:G, [1]العمليات!B:B, A322, [1]العمليات!C:C, "إدخال") - SUMIFS([1]العمليات!G:G, [1]العمليات!B:B, A322, [1]العمليات!C:C, "إخراج")</f>
        <v>1937</v>
      </c>
      <c r="D322" s="3" t="str">
        <f>IF(A322="","",IFERROR(LOOKUP(2,1/(([1]العمليات!$B$2:$B$1000=A322)*([1]العمليات!$H$2:$H$1000&lt;&gt;"")),[1]العمليات!$H$2:$H$1000),""))</f>
        <v/>
      </c>
      <c r="E322" s="3" t="str">
        <f>IF(A322="","",IFERROR(LOOKUP(2,1/(([1]العمليات!$B$2:$B$1000=A322)*([1]العمليات!$I$2:$I$1000&lt;&gt;"")),[1]العمليات!$I$2:$I$1000),""))</f>
        <v/>
      </c>
    </row>
    <row r="323" spans="1:5" x14ac:dyDescent="0.35">
      <c r="A323" s="5" t="s">
        <v>726</v>
      </c>
      <c r="B323" s="5" t="s">
        <v>727</v>
      </c>
      <c r="C323" s="6">
        <f>SUMIFS([1]العمليات!G:G, [1]العمليات!B:B, A323, [1]العمليات!C:C, "إدخال") - SUMIFS([1]العمليات!G:G, [1]العمليات!B:B, A323, [1]العمليات!C:C, "إخراج")</f>
        <v>272</v>
      </c>
      <c r="D323" s="5" t="str">
        <f>IF(A323="","",IFERROR(LOOKUP(2,1/(([1]العمليات!$B$2:$B$1000=A323)*([1]العمليات!$H$2:$H$1000&lt;&gt;"")),[1]العمليات!$H$2:$H$1000),""))</f>
        <v/>
      </c>
      <c r="E323" s="5" t="str">
        <f>IF(A323="","",IFERROR(LOOKUP(2,1/(([1]العمليات!$B$2:$B$1000=A323)*([1]العمليات!$I$2:$I$1000&lt;&gt;"")),[1]العمليات!$I$2:$I$1000),""))</f>
        <v/>
      </c>
    </row>
    <row r="324" spans="1:5" x14ac:dyDescent="0.35">
      <c r="A324" s="3" t="s">
        <v>728</v>
      </c>
      <c r="B324" s="3" t="s">
        <v>729</v>
      </c>
      <c r="C324" s="4">
        <f>SUMIFS([1]العمليات!G:G, [1]العمليات!B:B, A324, [1]العمليات!C:C, "إدخال") - SUMIFS([1]العمليات!G:G, [1]العمليات!B:B, A324, [1]العمليات!C:C, "إخراج")</f>
        <v>239</v>
      </c>
      <c r="D324" s="3" t="str">
        <f>IF(A324="","",IFERROR(LOOKUP(2,1/(([1]العمليات!$B$2:$B$1000=A324)*([1]العمليات!$H$2:$H$1000&lt;&gt;"")),[1]العمليات!$H$2:$H$1000),""))</f>
        <v/>
      </c>
      <c r="E324" s="3" t="str">
        <f>IF(A324="","",IFERROR(LOOKUP(2,1/(([1]العمليات!$B$2:$B$1000=A324)*([1]العمليات!$I$2:$I$1000&lt;&gt;"")),[1]العمليات!$I$2:$I$1000),""))</f>
        <v/>
      </c>
    </row>
    <row r="325" spans="1:5" x14ac:dyDescent="0.35">
      <c r="A325" s="5" t="s">
        <v>298</v>
      </c>
      <c r="B325" s="5" t="s">
        <v>299</v>
      </c>
      <c r="C325" s="6">
        <f>SUMIFS([1]العمليات!G:G, [1]العمليات!B:B, A325, [1]العمليات!C:C, "إدخال") - SUMIFS([1]العمليات!G:G, [1]العمليات!B:B, A325, [1]العمليات!C:C, "إخراج")</f>
        <v>257</v>
      </c>
      <c r="D325" s="5">
        <f>IF(A325="","",IFERROR(LOOKUP(2,1/(([1]العمليات!$B$2:$B$1000=A325)*([1]العمليات!$H$2:$H$1000&lt;&gt;"")),[1]العمليات!$H$2:$H$1000),""))</f>
        <v>3</v>
      </c>
      <c r="E325" s="5" t="str">
        <f>IF(A325="","",IFERROR(LOOKUP(2,1/(([1]العمليات!$B$2:$B$1000=A325)*([1]العمليات!$I$2:$I$1000&lt;&gt;"")),[1]العمليات!$I$2:$I$1000),""))</f>
        <v>2ط2</v>
      </c>
    </row>
    <row r="326" spans="1:5" x14ac:dyDescent="0.35">
      <c r="A326" s="3" t="s">
        <v>730</v>
      </c>
      <c r="B326" s="3" t="s">
        <v>731</v>
      </c>
      <c r="C326" s="4">
        <f>SUMIFS([1]العمليات!G:G, [1]العمليات!B:B, A326, [1]العمليات!C:C, "إدخال") - SUMIFS([1]العمليات!G:G, [1]العمليات!B:B, A326, [1]العمليات!C:C, "إخراج")</f>
        <v>300</v>
      </c>
      <c r="D326" s="3">
        <f>IF(A326="","",IFERROR(LOOKUP(2,1/(([1]العمليات!$B$2:$B$1000=A326)*([1]العمليات!$H$2:$H$1000&lt;&gt;"")),[1]العمليات!$H$2:$H$1000),""))</f>
        <v>4</v>
      </c>
      <c r="E326" s="3">
        <f>IF(A326="","",IFERROR(LOOKUP(2,1/(([1]العمليات!$B$2:$B$1000=A326)*([1]العمليات!$I$2:$I$1000&lt;&gt;"")),[1]العمليات!$I$2:$I$1000),""))</f>
        <v>1</v>
      </c>
    </row>
    <row r="327" spans="1:5" x14ac:dyDescent="0.35">
      <c r="A327" s="5" t="s">
        <v>300</v>
      </c>
      <c r="B327" s="5" t="s">
        <v>301</v>
      </c>
      <c r="C327" s="6">
        <f>SUMIFS([1]العمليات!G:G, [1]العمليات!B:B, A327, [1]العمليات!C:C, "إدخال") - SUMIFS([1]العمليات!G:G, [1]العمليات!B:B, A327, [1]العمليات!C:C, "إخراج")</f>
        <v>1982</v>
      </c>
      <c r="D327" s="5">
        <f>IF(A327="","",IFERROR(LOOKUP(2,1/(([1]العمليات!$B$2:$B$1000=A327)*([1]العمليات!$H$2:$H$1000&lt;&gt;"")),[1]العمليات!$H$2:$H$1000),""))</f>
        <v>4</v>
      </c>
      <c r="E327" s="5">
        <f>IF(A327="","",IFERROR(LOOKUP(2,1/(([1]العمليات!$B$2:$B$1000=A327)*([1]العمليات!$I$2:$I$1000&lt;&gt;"")),[1]العمليات!$I$2:$I$1000),""))</f>
        <v>3</v>
      </c>
    </row>
    <row r="328" spans="1:5" x14ac:dyDescent="0.35">
      <c r="A328" s="3" t="s">
        <v>732</v>
      </c>
      <c r="B328" s="3" t="s">
        <v>733</v>
      </c>
      <c r="C328" s="4">
        <f>SUMIFS([1]العمليات!G:G, [1]العمليات!B:B, A328, [1]العمليات!C:C, "إدخال") - SUMIFS([1]العمليات!G:G, [1]العمليات!B:B, A328, [1]العمليات!C:C, "إخراج")</f>
        <v>1273</v>
      </c>
      <c r="D328" s="3" t="str">
        <f>IF(A328="","",IFERROR(LOOKUP(2,1/(([1]العمليات!$B$2:$B$1000=A328)*([1]العمليات!$H$2:$H$1000&lt;&gt;"")),[1]العمليات!$H$2:$H$1000),""))</f>
        <v/>
      </c>
      <c r="E328" s="3" t="str">
        <f>IF(A328="","",IFERROR(LOOKUP(2,1/(([1]العمليات!$B$2:$B$1000=A328)*([1]العمليات!$I$2:$I$1000&lt;&gt;"")),[1]العمليات!$I$2:$I$1000),""))</f>
        <v/>
      </c>
    </row>
    <row r="329" spans="1:5" x14ac:dyDescent="0.35">
      <c r="A329" s="5" t="s">
        <v>302</v>
      </c>
      <c r="B329" s="5" t="s">
        <v>303</v>
      </c>
      <c r="C329" s="6">
        <f>SUMIFS([1]العمليات!G:G, [1]العمليات!B:B, A329, [1]العمليات!C:C, "إدخال") - SUMIFS([1]العمليات!G:G, [1]العمليات!B:B, A329, [1]العمليات!C:C, "إخراج")</f>
        <v>983</v>
      </c>
      <c r="D329" s="5">
        <f>IF(A329="","",IFERROR(LOOKUP(2,1/(([1]العمليات!$B$2:$B$1000=A329)*([1]العمليات!$H$2:$H$1000&lt;&gt;"")),[1]العمليات!$H$2:$H$1000),""))</f>
        <v>4</v>
      </c>
      <c r="E329" s="5">
        <f>IF(A329="","",IFERROR(LOOKUP(2,1/(([1]العمليات!$B$2:$B$1000=A329)*([1]العمليات!$I$2:$I$1000&lt;&gt;"")),[1]العمليات!$I$2:$I$1000),""))</f>
        <v>5</v>
      </c>
    </row>
    <row r="330" spans="1:5" x14ac:dyDescent="0.35">
      <c r="A330" s="3" t="s">
        <v>304</v>
      </c>
      <c r="B330" s="3" t="s">
        <v>305</v>
      </c>
      <c r="C330" s="4">
        <f>SUMIFS([1]العمليات!G:G, [1]العمليات!B:B, A330, [1]العمليات!C:C, "إدخال") - SUMIFS([1]العمليات!G:G, [1]العمليات!B:B, A330, [1]العمليات!C:C, "إخراج")</f>
        <v>663</v>
      </c>
      <c r="D330" s="3">
        <f>IF(A330="","",IFERROR(LOOKUP(2,1/(([1]العمليات!$B$2:$B$1000=A330)*([1]العمليات!$H$2:$H$1000&lt;&gt;"")),[1]العمليات!$H$2:$H$1000),""))</f>
        <v>6</v>
      </c>
      <c r="E330" s="3">
        <f>IF(A330="","",IFERROR(LOOKUP(2,1/(([1]العمليات!$B$2:$B$1000=A330)*([1]العمليات!$I$2:$I$1000&lt;&gt;"")),[1]العمليات!$I$2:$I$1000),""))</f>
        <v>6</v>
      </c>
    </row>
    <row r="331" spans="1:5" x14ac:dyDescent="0.35">
      <c r="A331" s="5" t="s">
        <v>306</v>
      </c>
      <c r="B331" s="5" t="s">
        <v>307</v>
      </c>
      <c r="C331" s="6">
        <f>SUMIFS([1]العمليات!G:G, [1]العمليات!B:B, A331, [1]العمليات!C:C, "إدخال") - SUMIFS([1]العمليات!G:G, [1]العمليات!B:B, A331, [1]العمليات!C:C, "إخراج")</f>
        <v>871</v>
      </c>
      <c r="D331" s="5">
        <f>IF(A331="","",IFERROR(LOOKUP(2,1/(([1]العمليات!$B$2:$B$1000=A331)*([1]العمليات!$H$2:$H$1000&lt;&gt;"")),[1]العمليات!$H$2:$H$1000),""))</f>
        <v>2</v>
      </c>
      <c r="E331" s="5">
        <f>IF(A331="","",IFERROR(LOOKUP(2,1/(([1]العمليات!$B$2:$B$1000=A331)*([1]العمليات!$I$2:$I$1000&lt;&gt;"")),[1]العمليات!$I$2:$I$1000),""))</f>
        <v>5</v>
      </c>
    </row>
    <row r="332" spans="1:5" x14ac:dyDescent="0.35">
      <c r="A332" s="3" t="s">
        <v>308</v>
      </c>
      <c r="B332" s="3" t="s">
        <v>309</v>
      </c>
      <c r="C332" s="4">
        <f>SUMIFS([1]العمليات!G:G, [1]العمليات!B:B, A332, [1]العمليات!C:C, "إدخال") - SUMIFS([1]العمليات!G:G, [1]العمليات!B:B, A332, [1]العمليات!C:C, "إخراج")</f>
        <v>1463</v>
      </c>
      <c r="D332" s="3">
        <f>IF(A332="","",IFERROR(LOOKUP(2,1/(([1]العمليات!$B$2:$B$1000=A332)*([1]العمليات!$H$2:$H$1000&lt;&gt;"")),[1]العمليات!$H$2:$H$1000),""))</f>
        <v>3</v>
      </c>
      <c r="E332" s="3">
        <f>IF(A332="","",IFERROR(LOOKUP(2,1/(([1]العمليات!$B$2:$B$1000=A332)*([1]العمليات!$I$2:$I$1000&lt;&gt;"")),[1]العمليات!$I$2:$I$1000),""))</f>
        <v>5</v>
      </c>
    </row>
    <row r="333" spans="1:5" x14ac:dyDescent="0.35">
      <c r="A333" s="5" t="s">
        <v>734</v>
      </c>
      <c r="B333" s="5" t="s">
        <v>735</v>
      </c>
      <c r="C333" s="6">
        <f>SUMIFS([1]العمليات!G:G, [1]العمليات!B:B, A333, [1]العمليات!C:C, "إدخال") - SUMIFS([1]العمليات!G:G, [1]العمليات!B:B, A333, [1]العمليات!C:C, "إخراج")</f>
        <v>931</v>
      </c>
      <c r="D333" s="5" t="str">
        <f>IF(A333="","",IFERROR(LOOKUP(2,1/(([1]العمليات!$B$2:$B$1000=A333)*([1]العمليات!$H$2:$H$1000&lt;&gt;"")),[1]العمليات!$H$2:$H$1000),""))</f>
        <v/>
      </c>
      <c r="E333" s="5" t="str">
        <f>IF(A333="","",IFERROR(LOOKUP(2,1/(([1]العمليات!$B$2:$B$1000=A333)*([1]العمليات!$I$2:$I$1000&lt;&gt;"")),[1]العمليات!$I$2:$I$1000),""))</f>
        <v/>
      </c>
    </row>
    <row r="334" spans="1:5" x14ac:dyDescent="0.35">
      <c r="A334" s="3" t="s">
        <v>310</v>
      </c>
      <c r="B334" s="3" t="s">
        <v>311</v>
      </c>
      <c r="C334" s="4">
        <f>SUMIFS([1]العمليات!G:G, [1]العمليات!B:B, A334, [1]العمليات!C:C, "إدخال") - SUMIFS([1]العمليات!G:G, [1]العمليات!B:B, A334, [1]العمليات!C:C, "إخراج")</f>
        <v>2261</v>
      </c>
      <c r="D334" s="3" t="str">
        <f>IF(A334="","",IFERROR(LOOKUP(2,1/(([1]العمليات!$B$2:$B$1000=A334)*([1]العمليات!$H$2:$H$1000&lt;&gt;"")),[1]العمليات!$H$2:$H$1000),""))</f>
        <v>مختوم ومسك</v>
      </c>
      <c r="E334" s="3" t="str">
        <f>IF(A334="","",IFERROR(LOOKUP(2,1/(([1]العمليات!$B$2:$B$1000=A334)*([1]العمليات!$I$2:$I$1000&lt;&gt;"")),[1]العمليات!$I$2:$I$1000),""))</f>
        <v>-</v>
      </c>
    </row>
    <row r="335" spans="1:5" x14ac:dyDescent="0.35">
      <c r="A335" s="5" t="s">
        <v>312</v>
      </c>
      <c r="B335" s="5" t="s">
        <v>313</v>
      </c>
      <c r="C335" s="6">
        <f>SUMIFS([1]العمليات!G:G, [1]العمليات!B:B, A335, [1]العمليات!C:C, "إدخال") - SUMIFS([1]العمليات!G:G, [1]العمليات!B:B, A335, [1]العمليات!C:C, "إخراج")</f>
        <v>247</v>
      </c>
      <c r="D335" s="5" t="str">
        <f>IF(A335="","",IFERROR(LOOKUP(2,1/(([1]العمليات!$B$2:$B$1000=A335)*([1]العمليات!$H$2:$H$1000&lt;&gt;"")),[1]العمليات!$H$2:$H$1000),""))</f>
        <v>مختوم ومسك</v>
      </c>
      <c r="E335" s="5" t="str">
        <f>IF(A335="","",IFERROR(LOOKUP(2,1/(([1]العمليات!$B$2:$B$1000=A335)*([1]العمليات!$I$2:$I$1000&lt;&gt;"")),[1]العمليات!$I$2:$I$1000),""))</f>
        <v>-</v>
      </c>
    </row>
    <row r="336" spans="1:5" x14ac:dyDescent="0.35">
      <c r="A336" s="3" t="s">
        <v>314</v>
      </c>
      <c r="B336" s="3" t="s">
        <v>315</v>
      </c>
      <c r="C336" s="4">
        <f>SUMIFS([1]العمليات!G:G, [1]العمليات!B:B, A336, [1]العمليات!C:C, "إدخال") - SUMIFS([1]العمليات!G:G, [1]العمليات!B:B, A336, [1]العمليات!C:C, "إخراج")</f>
        <v>915</v>
      </c>
      <c r="D336" s="3">
        <f>IF(A336="","",IFERROR(LOOKUP(2,1/(([1]العمليات!$B$2:$B$1000=A336)*([1]العمليات!$H$2:$H$1000&lt;&gt;"")),[1]العمليات!$H$2:$H$1000),""))</f>
        <v>6</v>
      </c>
      <c r="E336" s="3">
        <f>IF(A336="","",IFERROR(LOOKUP(2,1/(([1]العمليات!$B$2:$B$1000=A336)*([1]العمليات!$I$2:$I$1000&lt;&gt;"")),[1]العمليات!$I$2:$I$1000),""))</f>
        <v>5</v>
      </c>
    </row>
    <row r="337" spans="1:5" x14ac:dyDescent="0.35">
      <c r="A337" s="5" t="s">
        <v>736</v>
      </c>
      <c r="B337" s="5" t="s">
        <v>737</v>
      </c>
      <c r="C337" s="6">
        <f>SUMIFS([1]العمليات!G:G, [1]العمليات!B:B, A337, [1]العمليات!C:C, "إدخال") - SUMIFS([1]العمليات!G:G, [1]العمليات!B:B, A337, [1]العمليات!C:C, "إخراج")</f>
        <v>0</v>
      </c>
      <c r="D337" s="5" t="str">
        <f>IF(A337="","",IFERROR(LOOKUP(2,1/(([1]العمليات!$B$2:$B$1000=A337)*([1]العمليات!$H$2:$H$1000&lt;&gt;"")),[1]العمليات!$H$2:$H$1000),""))</f>
        <v>مختوم ومسك</v>
      </c>
      <c r="E337" s="5" t="str">
        <f>IF(A337="","",IFERROR(LOOKUP(2,1/(([1]العمليات!$B$2:$B$1000=A337)*([1]العمليات!$I$2:$I$1000&lt;&gt;"")),[1]العمليات!$I$2:$I$1000),""))</f>
        <v>-</v>
      </c>
    </row>
    <row r="338" spans="1:5" x14ac:dyDescent="0.35">
      <c r="A338" s="3" t="s">
        <v>316</v>
      </c>
      <c r="B338" s="3" t="s">
        <v>317</v>
      </c>
      <c r="C338" s="4">
        <f>SUMIFS([1]العمليات!G:G, [1]العمليات!B:B, A338, [1]العمليات!C:C, "إدخال") - SUMIFS([1]العمليات!G:G, [1]العمليات!B:B, A338, [1]العمليات!C:C, "إخراج")</f>
        <v>6366</v>
      </c>
      <c r="D338" s="3" t="str">
        <f>IF(A338="","",IFERROR(LOOKUP(2,1/(([1]العمليات!$B$2:$B$1000=A338)*([1]العمليات!$H$2:$H$1000&lt;&gt;"")),[1]العمليات!$H$2:$H$1000),""))</f>
        <v>مختوم ومسك</v>
      </c>
      <c r="E338" s="3" t="str">
        <f>IF(A338="","",IFERROR(LOOKUP(2,1/(([1]العمليات!$B$2:$B$1000=A338)*([1]العمليات!$I$2:$I$1000&lt;&gt;"")),[1]العمليات!$I$2:$I$1000),""))</f>
        <v>-</v>
      </c>
    </row>
    <row r="339" spans="1:5" x14ac:dyDescent="0.35">
      <c r="A339" s="5" t="s">
        <v>318</v>
      </c>
      <c r="B339" s="5" t="s">
        <v>319</v>
      </c>
      <c r="C339" s="6">
        <f>SUMIFS([1]العمليات!G:G, [1]العمليات!B:B, A339, [1]العمليات!C:C, "إدخال") - SUMIFS([1]العمليات!G:G, [1]العمليات!B:B, A339, [1]العمليات!C:C, "إخراج")</f>
        <v>0</v>
      </c>
      <c r="D339" s="5">
        <f>IF(A339="","",IFERROR(LOOKUP(2,1/(([1]العمليات!$B$2:$B$1000=A339)*([1]العمليات!$H$2:$H$1000&lt;&gt;"")),[1]العمليات!$H$2:$H$1000),""))</f>
        <v>6</v>
      </c>
      <c r="E339" s="5">
        <f>IF(A339="","",IFERROR(LOOKUP(2,1/(([1]العمليات!$B$2:$B$1000=A339)*([1]العمليات!$I$2:$I$1000&lt;&gt;"")),[1]العمليات!$I$2:$I$1000),""))</f>
        <v>6</v>
      </c>
    </row>
    <row r="340" spans="1:5" x14ac:dyDescent="0.35">
      <c r="A340" s="3" t="s">
        <v>320</v>
      </c>
      <c r="B340" s="3" t="s">
        <v>321</v>
      </c>
      <c r="C340" s="4">
        <f>SUMIFS([1]العمليات!G:G, [1]العمليات!B:B, A340, [1]العمليات!C:C, "إدخال") - SUMIFS([1]العمليات!G:G, [1]العمليات!B:B, A340, [1]العمليات!C:C, "إخراج")</f>
        <v>184</v>
      </c>
      <c r="D340" s="3" t="str">
        <f>IF(A340="","",IFERROR(LOOKUP(2,1/(([1]العمليات!$B$2:$B$1000=A340)*([1]العمليات!$H$2:$H$1000&lt;&gt;"")),[1]العمليات!$H$2:$H$1000),""))</f>
        <v>مختوم ومسك</v>
      </c>
      <c r="E340" s="3" t="str">
        <f>IF(A340="","",IFERROR(LOOKUP(2,1/(([1]العمليات!$B$2:$B$1000=A340)*([1]العمليات!$I$2:$I$1000&lt;&gt;"")),[1]العمليات!$I$2:$I$1000),""))</f>
        <v>-</v>
      </c>
    </row>
    <row r="341" spans="1:5" x14ac:dyDescent="0.35">
      <c r="A341" s="5" t="s">
        <v>738</v>
      </c>
      <c r="B341" s="5" t="s">
        <v>739</v>
      </c>
      <c r="C341" s="6">
        <f>SUMIFS([1]العمليات!G:G, [1]العمليات!B:B, A341, [1]العمليات!C:C, "إدخال") - SUMIFS([1]العمليات!G:G, [1]العمليات!B:B, A341, [1]العمليات!C:C, "إخراج")</f>
        <v>0</v>
      </c>
      <c r="D341" s="5" t="str">
        <f>IF(A341="","",IFERROR(LOOKUP(2,1/(([1]العمليات!$B$2:$B$1000=A341)*([1]العمليات!$H$2:$H$1000&lt;&gt;"")),[1]العمليات!$H$2:$H$1000),""))</f>
        <v/>
      </c>
      <c r="E341" s="5" t="str">
        <f>IF(A341="","",IFERROR(LOOKUP(2,1/(([1]العمليات!$B$2:$B$1000=A341)*([1]العمليات!$I$2:$I$1000&lt;&gt;"")),[1]العمليات!$I$2:$I$1000),""))</f>
        <v/>
      </c>
    </row>
    <row r="342" spans="1:5" x14ac:dyDescent="0.35">
      <c r="A342" s="3" t="s">
        <v>740</v>
      </c>
      <c r="B342" s="3" t="s">
        <v>741</v>
      </c>
      <c r="C342" s="4">
        <f>SUMIFS([1]العمليات!G:G, [1]العمليات!B:B, A342, [1]العمليات!C:C, "إدخال") - SUMIFS([1]العمليات!G:G, [1]العمليات!B:B, A342, [1]العمليات!C:C, "إخراج")</f>
        <v>330</v>
      </c>
      <c r="D342" s="3" t="str">
        <f>IF(A342="","",IFERROR(LOOKUP(2,1/(([1]العمليات!$B$2:$B$1000=A342)*([1]العمليات!$H$2:$H$1000&lt;&gt;"")),[1]العمليات!$H$2:$H$1000),""))</f>
        <v/>
      </c>
      <c r="E342" s="3" t="str">
        <f>IF(A342="","",IFERROR(LOOKUP(2,1/(([1]العمليات!$B$2:$B$1000=A342)*([1]العمليات!$I$2:$I$1000&lt;&gt;"")),[1]العمليات!$I$2:$I$1000),""))</f>
        <v/>
      </c>
    </row>
    <row r="343" spans="1:5" x14ac:dyDescent="0.35">
      <c r="A343" s="5" t="s">
        <v>322</v>
      </c>
      <c r="B343" s="5" t="s">
        <v>323</v>
      </c>
      <c r="C343" s="6">
        <f>SUMIFS([1]العمليات!G:G, [1]العمليات!B:B, A343, [1]العمليات!C:C, "إدخال") - SUMIFS([1]العمليات!G:G, [1]العمليات!B:B, A343, [1]العمليات!C:C, "إخراج")</f>
        <v>619</v>
      </c>
      <c r="D343" s="5">
        <f>IF(A343="","",IFERROR(LOOKUP(2,1/(([1]العمليات!$B$2:$B$1000=A343)*([1]العمليات!$H$2:$H$1000&lt;&gt;"")),[1]العمليات!$H$2:$H$1000),""))</f>
        <v>6</v>
      </c>
      <c r="E343" s="5">
        <f>IF(A343="","",IFERROR(LOOKUP(2,1/(([1]العمليات!$B$2:$B$1000=A343)*([1]العمليات!$I$2:$I$1000&lt;&gt;"")),[1]العمليات!$I$2:$I$1000),""))</f>
        <v>2</v>
      </c>
    </row>
    <row r="344" spans="1:5" x14ac:dyDescent="0.35">
      <c r="A344" s="3" t="s">
        <v>324</v>
      </c>
      <c r="B344" s="3" t="s">
        <v>325</v>
      </c>
      <c r="C344" s="4">
        <f>SUMIFS([1]العمليات!G:G, [1]العمليات!B:B, A344, [1]العمليات!C:C, "إدخال") - SUMIFS([1]العمليات!G:G, [1]العمليات!B:B, A344, [1]العمليات!C:C, "إخراج")</f>
        <v>1379</v>
      </c>
      <c r="D344" s="3">
        <f>IF(A344="","",IFERROR(LOOKUP(2,1/(([1]العمليات!$B$2:$B$1000=A344)*([1]العمليات!$H$2:$H$1000&lt;&gt;"")),[1]العمليات!$H$2:$H$1000),""))</f>
        <v>4</v>
      </c>
      <c r="E344" s="3">
        <f>IF(A344="","",IFERROR(LOOKUP(2,1/(([1]العمليات!$B$2:$B$1000=A344)*([1]العمليات!$I$2:$I$1000&lt;&gt;"")),[1]العمليات!$I$2:$I$1000),""))</f>
        <v>5</v>
      </c>
    </row>
    <row r="345" spans="1:5" x14ac:dyDescent="0.35">
      <c r="A345" s="5" t="s">
        <v>326</v>
      </c>
      <c r="B345" s="5" t="s">
        <v>327</v>
      </c>
      <c r="C345" s="6">
        <f>SUMIFS([1]العمليات!G:G, [1]العمليات!B:B, A345, [1]العمليات!C:C, "إدخال") - SUMIFS([1]العمليات!G:G, [1]العمليات!B:B, A345, [1]العمليات!C:C, "إخراج")</f>
        <v>421</v>
      </c>
      <c r="D345" s="5">
        <f>IF(A345="","",IFERROR(LOOKUP(2,1/(([1]العمليات!$B$2:$B$1000=A345)*([1]العمليات!$H$2:$H$1000&lt;&gt;"")),[1]العمليات!$H$2:$H$1000),""))</f>
        <v>4</v>
      </c>
      <c r="E345" s="5">
        <f>IF(A345="","",IFERROR(LOOKUP(2,1/(([1]العمليات!$B$2:$B$1000=A345)*([1]العمليات!$I$2:$I$1000&lt;&gt;"")),[1]العمليات!$I$2:$I$1000),""))</f>
        <v>3</v>
      </c>
    </row>
    <row r="346" spans="1:5" x14ac:dyDescent="0.35">
      <c r="A346" s="3" t="s">
        <v>328</v>
      </c>
      <c r="B346" s="3" t="s">
        <v>329</v>
      </c>
      <c r="C346" s="4">
        <f>SUMIFS([1]العمليات!G:G, [1]العمليات!B:B, A346, [1]العمليات!C:C, "إدخال") - SUMIFS([1]العمليات!G:G, [1]العمليات!B:B, A346, [1]العمليات!C:C, "إخراج")</f>
        <v>690</v>
      </c>
      <c r="D346" s="3">
        <f>IF(A346="","",IFERROR(LOOKUP(2,1/(([1]العمليات!$B$2:$B$1000=A346)*([1]العمليات!$H$2:$H$1000&lt;&gt;"")),[1]العمليات!$H$2:$H$1000),""))</f>
        <v>5</v>
      </c>
      <c r="E346" s="3">
        <f>IF(A346="","",IFERROR(LOOKUP(2,1/(([1]العمليات!$B$2:$B$1000=A346)*([1]العمليات!$I$2:$I$1000&lt;&gt;"")),[1]العمليات!$I$2:$I$1000),""))</f>
        <v>3</v>
      </c>
    </row>
    <row r="347" spans="1:5" x14ac:dyDescent="0.35">
      <c r="A347" s="5" t="s">
        <v>330</v>
      </c>
      <c r="B347" s="5" t="s">
        <v>331</v>
      </c>
      <c r="C347" s="6">
        <f>SUMIFS([1]العمليات!G:G, [1]العمليات!B:B, A347, [1]العمليات!C:C, "إدخال") - SUMIFS([1]العمليات!G:G, [1]العمليات!B:B, A347, [1]العمليات!C:C, "إخراج")</f>
        <v>40</v>
      </c>
      <c r="D347" s="5">
        <f>IF(A347="","",IFERROR(LOOKUP(2,1/(([1]العمليات!$B$2:$B$1000=A347)*([1]العمليات!$H$2:$H$1000&lt;&gt;"")),[1]العمليات!$H$2:$H$1000),""))</f>
        <v>3</v>
      </c>
      <c r="E347" s="5">
        <f>IF(A347="","",IFERROR(LOOKUP(2,1/(([1]العمليات!$B$2:$B$1000=A347)*([1]العمليات!$I$2:$I$1000&lt;&gt;"")),[1]العمليات!$I$2:$I$1000),""))</f>
        <v>1</v>
      </c>
    </row>
    <row r="348" spans="1:5" x14ac:dyDescent="0.35">
      <c r="A348" s="3" t="s">
        <v>742</v>
      </c>
      <c r="B348" s="3" t="s">
        <v>743</v>
      </c>
      <c r="C348" s="4">
        <f>SUMIFS([1]العمليات!G:G, [1]العمليات!B:B, A348, [1]العمليات!C:C, "إدخال") - SUMIFS([1]العمليات!G:G, [1]العمليات!B:B, A348, [1]العمليات!C:C, "إخراج")</f>
        <v>2000</v>
      </c>
      <c r="D348" s="3" t="str">
        <f>IF(A348="","",IFERROR(LOOKUP(2,1/(([1]العمليات!$B$2:$B$1000=A348)*([1]العمليات!$H$2:$H$1000&lt;&gt;"")),[1]العمليات!$H$2:$H$1000),""))</f>
        <v/>
      </c>
      <c r="E348" s="3" t="str">
        <f>IF(A348="","",IFERROR(LOOKUP(2,1/(([1]العمليات!$B$2:$B$1000=A348)*([1]العمليات!$I$2:$I$1000&lt;&gt;"")),[1]العمليات!$I$2:$I$1000),""))</f>
        <v/>
      </c>
    </row>
    <row r="349" spans="1:5" x14ac:dyDescent="0.35">
      <c r="A349" s="5" t="s">
        <v>332</v>
      </c>
      <c r="B349" s="5" t="s">
        <v>333</v>
      </c>
      <c r="C349" s="6">
        <f>SUMIFS([1]العمليات!G:G, [1]العمليات!B:B, A349, [1]العمليات!C:C, "إدخال") - SUMIFS([1]العمليات!G:G, [1]العمليات!B:B, A349, [1]العمليات!C:C, "إخراج")</f>
        <v>2009</v>
      </c>
      <c r="D349" s="5">
        <f>IF(A349="","",IFERROR(LOOKUP(2,1/(([1]العمليات!$B$2:$B$1000=A349)*([1]العمليات!$H$2:$H$1000&lt;&gt;"")),[1]العمليات!$H$2:$H$1000),""))</f>
        <v>5</v>
      </c>
      <c r="E349" s="5">
        <f>IF(A349="","",IFERROR(LOOKUP(2,1/(([1]العمليات!$B$2:$B$1000=A349)*([1]العمليات!$I$2:$I$1000&lt;&gt;"")),[1]العمليات!$I$2:$I$1000),""))</f>
        <v>4</v>
      </c>
    </row>
    <row r="350" spans="1:5" x14ac:dyDescent="0.35">
      <c r="A350" s="3" t="s">
        <v>744</v>
      </c>
      <c r="B350" s="3" t="s">
        <v>745</v>
      </c>
      <c r="C350" s="4">
        <f>SUMIFS([1]العمليات!G:G, [1]العمليات!B:B, A350, [1]العمليات!C:C, "إدخال") - SUMIFS([1]العمليات!G:G, [1]العمليات!B:B, A350, [1]العمليات!C:C, "إخراج")</f>
        <v>197</v>
      </c>
      <c r="D350" s="3" t="str">
        <f>IF(A350="","",IFERROR(LOOKUP(2,1/(([1]العمليات!$B$2:$B$1000=A350)*([1]العمليات!$H$2:$H$1000&lt;&gt;"")),[1]العمليات!$H$2:$H$1000),""))</f>
        <v/>
      </c>
      <c r="E350" s="3" t="str">
        <f>IF(A350="","",IFERROR(LOOKUP(2,1/(([1]العمليات!$B$2:$B$1000=A350)*([1]العمليات!$I$2:$I$1000&lt;&gt;"")),[1]العمليات!$I$2:$I$1000),""))</f>
        <v/>
      </c>
    </row>
    <row r="351" spans="1:5" x14ac:dyDescent="0.35">
      <c r="A351" s="5" t="s">
        <v>746</v>
      </c>
      <c r="B351" s="5" t="s">
        <v>747</v>
      </c>
      <c r="C351" s="6">
        <f>SUMIFS([1]العمليات!G:G, [1]العمليات!B:B, A351, [1]العمليات!C:C, "إدخال") - SUMIFS([1]العمليات!G:G, [1]العمليات!B:B, A351, [1]العمليات!C:C, "إخراج")</f>
        <v>590</v>
      </c>
      <c r="D351" s="5" t="str">
        <f>IF(A351="","",IFERROR(LOOKUP(2,1/(([1]العمليات!$B$2:$B$1000=A351)*([1]العمليات!$H$2:$H$1000&lt;&gt;"")),[1]العمليات!$H$2:$H$1000),""))</f>
        <v/>
      </c>
      <c r="E351" s="5" t="str">
        <f>IF(A351="","",IFERROR(LOOKUP(2,1/(([1]العمليات!$B$2:$B$1000=A351)*([1]العمليات!$I$2:$I$1000&lt;&gt;"")),[1]العمليات!$I$2:$I$1000),""))</f>
        <v/>
      </c>
    </row>
    <row r="352" spans="1:5" x14ac:dyDescent="0.35">
      <c r="A352" s="3" t="s">
        <v>334</v>
      </c>
      <c r="B352" s="3" t="s">
        <v>335</v>
      </c>
      <c r="C352" s="4">
        <f>SUMIFS([1]العمليات!G:G, [1]العمليات!B:B, A352, [1]العمليات!C:C, "إدخال") - SUMIFS([1]العمليات!G:G, [1]العمليات!B:B, A352, [1]العمليات!C:C, "إخراج")</f>
        <v>2796</v>
      </c>
      <c r="D352" s="3">
        <f>IF(A352="","",IFERROR(LOOKUP(2,1/(([1]العمليات!$B$2:$B$1000=A352)*([1]العمليات!$H$2:$H$1000&lt;&gt;"")),[1]العمليات!$H$2:$H$1000),""))</f>
        <v>3</v>
      </c>
      <c r="E352" s="3">
        <f>IF(A352="","",IFERROR(LOOKUP(2,1/(([1]العمليات!$B$2:$B$1000=A352)*([1]العمليات!$I$2:$I$1000&lt;&gt;"")),[1]العمليات!$I$2:$I$1000),""))</f>
        <v>3</v>
      </c>
    </row>
    <row r="353" spans="1:5" x14ac:dyDescent="0.35">
      <c r="A353" s="5" t="s">
        <v>336</v>
      </c>
      <c r="B353" s="5" t="s">
        <v>337</v>
      </c>
      <c r="C353" s="6">
        <f>SUMIFS([1]العمليات!G:G, [1]العمليات!B:B, A353, [1]العمليات!C:C, "إدخال") - SUMIFS([1]العمليات!G:G, [1]العمليات!B:B, A353, [1]العمليات!C:C, "إخراج")</f>
        <v>1766</v>
      </c>
      <c r="D353" s="5">
        <f>IF(A353="","",IFERROR(LOOKUP(2,1/(([1]العمليات!$B$2:$B$1000=A353)*([1]العمليات!$H$2:$H$1000&lt;&gt;"")),[1]العمليات!$H$2:$H$1000),""))</f>
        <v>1</v>
      </c>
      <c r="E353" s="5">
        <f>IF(A353="","",IFERROR(LOOKUP(2,1/(([1]العمليات!$B$2:$B$1000=A353)*([1]العمليات!$I$2:$I$1000&lt;&gt;"")),[1]العمليات!$I$2:$I$1000),""))</f>
        <v>6</v>
      </c>
    </row>
    <row r="354" spans="1:5" x14ac:dyDescent="0.35">
      <c r="A354" s="3" t="s">
        <v>338</v>
      </c>
      <c r="B354" s="3" t="s">
        <v>339</v>
      </c>
      <c r="C354" s="4">
        <f>SUMIFS([1]العمليات!G:G, [1]العمليات!B:B, A354, [1]العمليات!C:C, "إدخال") - SUMIFS([1]العمليات!G:G, [1]العمليات!B:B, A354, [1]العمليات!C:C, "إخراج")</f>
        <v>651</v>
      </c>
      <c r="D354" s="3">
        <f>IF(A354="","",IFERROR(LOOKUP(2,1/(([1]العمليات!$B$2:$B$1000=A354)*([1]العمليات!$H$2:$H$1000&lt;&gt;"")),[1]العمليات!$H$2:$H$1000),""))</f>
        <v>2</v>
      </c>
      <c r="E354" s="3">
        <f>IF(A354="","",IFERROR(LOOKUP(2,1/(([1]العمليات!$B$2:$B$1000=A354)*([1]العمليات!$I$2:$I$1000&lt;&gt;"")),[1]العمليات!$I$2:$I$1000),""))</f>
        <v>1</v>
      </c>
    </row>
    <row r="355" spans="1:5" x14ac:dyDescent="0.35">
      <c r="A355" s="5" t="s">
        <v>748</v>
      </c>
      <c r="B355" s="5" t="s">
        <v>749</v>
      </c>
      <c r="C355" s="6">
        <f>SUMIFS([1]العمليات!G:G, [1]العمليات!B:B, A355, [1]العمليات!C:C, "إدخال") - SUMIFS([1]العمليات!G:G, [1]العمليات!B:B, A355, [1]العمليات!C:C, "إخراج")</f>
        <v>409</v>
      </c>
      <c r="D355" s="5" t="str">
        <f>IF(A355="","",IFERROR(LOOKUP(2,1/(([1]العمليات!$B$2:$B$1000=A355)*([1]العمليات!$H$2:$H$1000&lt;&gt;"")),[1]العمليات!$H$2:$H$1000),""))</f>
        <v/>
      </c>
      <c r="E355" s="5" t="str">
        <f>IF(A355="","",IFERROR(LOOKUP(2,1/(([1]العمليات!$B$2:$B$1000=A355)*([1]العمليات!$I$2:$I$1000&lt;&gt;"")),[1]العمليات!$I$2:$I$1000),""))</f>
        <v/>
      </c>
    </row>
    <row r="356" spans="1:5" x14ac:dyDescent="0.35">
      <c r="A356" s="3" t="s">
        <v>340</v>
      </c>
      <c r="B356" s="3" t="s">
        <v>341</v>
      </c>
      <c r="C356" s="4">
        <f>SUMIFS([1]العمليات!G:G, [1]العمليات!B:B, A356, [1]العمليات!C:C, "إدخال") - SUMIFS([1]العمليات!G:G, [1]العمليات!B:B, A356, [1]العمليات!C:C, "إخراج")</f>
        <v>284</v>
      </c>
      <c r="D356" s="3">
        <f>IF(A356="","",IFERROR(LOOKUP(2,1/(([1]العمليات!$B$2:$B$1000=A356)*([1]العمليات!$H$2:$H$1000&lt;&gt;"")),[1]العمليات!$H$2:$H$1000),""))</f>
        <v>6</v>
      </c>
      <c r="E356" s="3">
        <f>IF(A356="","",IFERROR(LOOKUP(2,1/(([1]العمليات!$B$2:$B$1000=A356)*([1]العمليات!$I$2:$I$1000&lt;&gt;"")),[1]العمليات!$I$2:$I$1000),""))</f>
        <v>1</v>
      </c>
    </row>
    <row r="357" spans="1:5" x14ac:dyDescent="0.35">
      <c r="A357" s="5" t="s">
        <v>342</v>
      </c>
      <c r="B357" s="5" t="s">
        <v>343</v>
      </c>
      <c r="C357" s="6">
        <f>SUMIFS([1]العمليات!G:G, [1]العمليات!B:B, A357, [1]العمليات!C:C, "إدخال") - SUMIFS([1]العمليات!G:G, [1]العمليات!B:B, A357, [1]العمليات!C:C, "إخراج")</f>
        <v>1013</v>
      </c>
      <c r="D357" s="5">
        <f>IF(A357="","",IFERROR(LOOKUP(2,1/(([1]العمليات!$B$2:$B$1000=A357)*([1]العمليات!$H$2:$H$1000&lt;&gt;"")),[1]العمليات!$H$2:$H$1000),""))</f>
        <v>2</v>
      </c>
      <c r="E357" s="5">
        <f>IF(A357="","",IFERROR(LOOKUP(2,1/(([1]العمليات!$B$2:$B$1000=A357)*([1]العمليات!$I$2:$I$1000&lt;&gt;"")),[1]العمليات!$I$2:$I$1000),""))</f>
        <v>6</v>
      </c>
    </row>
    <row r="358" spans="1:5" x14ac:dyDescent="0.35">
      <c r="A358" s="3" t="s">
        <v>344</v>
      </c>
      <c r="B358" s="3" t="s">
        <v>345</v>
      </c>
      <c r="C358" s="4">
        <f>SUMIFS([1]العمليات!G:G, [1]العمليات!B:B, A358, [1]العمليات!C:C, "إدخال") - SUMIFS([1]العمليات!G:G, [1]العمليات!B:B, A358, [1]العمليات!C:C, "إخراج")</f>
        <v>1016</v>
      </c>
      <c r="D358" s="3">
        <f>IF(A358="","",IFERROR(LOOKUP(2,1/(([1]العمليات!$B$2:$B$1000=A358)*([1]العمليات!$H$2:$H$1000&lt;&gt;"")),[1]العمليات!$H$2:$H$1000),""))</f>
        <v>6</v>
      </c>
      <c r="E358" s="3">
        <f>IF(A358="","",IFERROR(LOOKUP(2,1/(([1]العمليات!$B$2:$B$1000=A358)*([1]العمليات!$I$2:$I$1000&lt;&gt;"")),[1]العمليات!$I$2:$I$1000),""))</f>
        <v>2</v>
      </c>
    </row>
    <row r="359" spans="1:5" x14ac:dyDescent="0.35">
      <c r="A359" s="5" t="s">
        <v>346</v>
      </c>
      <c r="B359" s="5" t="s">
        <v>347</v>
      </c>
      <c r="C359" s="6">
        <f>SUMIFS([1]العمليات!G:G, [1]العمليات!B:B, A359, [1]العمليات!C:C, "إدخال") - SUMIFS([1]العمليات!G:G, [1]العمليات!B:B, A359, [1]العمليات!C:C, "إخراج")</f>
        <v>624</v>
      </c>
      <c r="D359" s="5" t="str">
        <f>IF(A359="","",IFERROR(LOOKUP(2,1/(([1]العمليات!$B$2:$B$1000=A359)*([1]العمليات!$H$2:$H$1000&lt;&gt;"")),[1]العمليات!$H$2:$H$1000),""))</f>
        <v>مختوم ومسك</v>
      </c>
      <c r="E359" s="5" t="str">
        <f>IF(A359="","",IFERROR(LOOKUP(2,1/(([1]العمليات!$B$2:$B$1000=A359)*([1]العمليات!$I$2:$I$1000&lt;&gt;"")),[1]العمليات!$I$2:$I$1000),""))</f>
        <v>-</v>
      </c>
    </row>
    <row r="360" spans="1:5" x14ac:dyDescent="0.35">
      <c r="A360" s="3" t="s">
        <v>750</v>
      </c>
      <c r="B360" s="3" t="s">
        <v>751</v>
      </c>
      <c r="C360" s="4">
        <f>SUMIFS([1]العمليات!G:G, [1]العمليات!B:B, A360, [1]العمليات!C:C, "إدخال") - SUMIFS([1]العمليات!G:G, [1]العمليات!B:B, A360, [1]العمليات!C:C, "إخراج")</f>
        <v>278</v>
      </c>
      <c r="D360" s="3" t="str">
        <f>IF(A360="","",IFERROR(LOOKUP(2,1/(([1]العمليات!$B$2:$B$1000=A360)*([1]العمليات!$H$2:$H$1000&lt;&gt;"")),[1]العمليات!$H$2:$H$1000),""))</f>
        <v/>
      </c>
      <c r="E360" s="3" t="str">
        <f>IF(A360="","",IFERROR(LOOKUP(2,1/(([1]العمليات!$B$2:$B$1000=A360)*([1]العمليات!$I$2:$I$1000&lt;&gt;"")),[1]العمليات!$I$2:$I$1000),""))</f>
        <v/>
      </c>
    </row>
    <row r="361" spans="1:5" x14ac:dyDescent="0.35">
      <c r="A361" s="5" t="s">
        <v>752</v>
      </c>
      <c r="B361" s="5" t="s">
        <v>753</v>
      </c>
      <c r="C361" s="6">
        <f>SUMIFS([1]العمليات!G:G, [1]العمليات!B:B, A361, [1]العمليات!C:C, "إدخال") - SUMIFS([1]العمليات!G:G, [1]العمليات!B:B, A361, [1]العمليات!C:C, "إخراج")</f>
        <v>77</v>
      </c>
      <c r="D361" s="5" t="str">
        <f>IF(A361="","",IFERROR(LOOKUP(2,1/(([1]العمليات!$B$2:$B$1000=A361)*([1]العمليات!$H$2:$H$1000&lt;&gt;"")),[1]العمليات!$H$2:$H$1000),""))</f>
        <v/>
      </c>
      <c r="E361" s="5" t="str">
        <f>IF(A361="","",IFERROR(LOOKUP(2,1/(([1]العمليات!$B$2:$B$1000=A361)*([1]العمليات!$I$2:$I$1000&lt;&gt;"")),[1]العمليات!$I$2:$I$1000),""))</f>
        <v/>
      </c>
    </row>
    <row r="362" spans="1:5" x14ac:dyDescent="0.35">
      <c r="A362" s="3" t="s">
        <v>348</v>
      </c>
      <c r="B362" s="3" t="s">
        <v>349</v>
      </c>
      <c r="C362" s="4">
        <f>SUMIFS([1]العمليات!G:G, [1]العمليات!B:B, A362, [1]العمليات!C:C, "إدخال") - SUMIFS([1]العمليات!G:G, [1]العمليات!B:B, A362, [1]العمليات!C:C, "إخراج")</f>
        <v>930</v>
      </c>
      <c r="D362" s="3">
        <f>IF(A362="","",IFERROR(LOOKUP(2,1/(([1]العمليات!$B$2:$B$1000=A362)*([1]العمليات!$H$2:$H$1000&lt;&gt;"")),[1]العمليات!$H$2:$H$1000),""))</f>
        <v>4</v>
      </c>
      <c r="E362" s="3">
        <f>IF(A362="","",IFERROR(LOOKUP(2,1/(([1]العمليات!$B$2:$B$1000=A362)*([1]العمليات!$I$2:$I$1000&lt;&gt;"")),[1]العمليات!$I$2:$I$1000),""))</f>
        <v>4</v>
      </c>
    </row>
    <row r="363" spans="1:5" x14ac:dyDescent="0.35">
      <c r="A363" s="5" t="s">
        <v>350</v>
      </c>
      <c r="B363" s="5" t="s">
        <v>351</v>
      </c>
      <c r="C363" s="6">
        <f>SUMIFS([1]العمليات!G:G, [1]العمليات!B:B, A363, [1]العمليات!C:C, "إدخال") - SUMIFS([1]العمليات!G:G, [1]العمليات!B:B, A363, [1]العمليات!C:C, "إخراج")</f>
        <v>312</v>
      </c>
      <c r="D363" s="5">
        <f>IF(A363="","",IFERROR(LOOKUP(2,1/(([1]العمليات!$B$2:$B$1000=A363)*([1]العمليات!$H$2:$H$1000&lt;&gt;"")),[1]العمليات!$H$2:$H$1000),""))</f>
        <v>3</v>
      </c>
      <c r="E363" s="5">
        <f>IF(A363="","",IFERROR(LOOKUP(2,1/(([1]العمليات!$B$2:$B$1000=A363)*([1]العمليات!$I$2:$I$1000&lt;&gt;"")),[1]العمليات!$I$2:$I$1000),""))</f>
        <v>1</v>
      </c>
    </row>
    <row r="364" spans="1:5" x14ac:dyDescent="0.35">
      <c r="A364" s="3" t="s">
        <v>352</v>
      </c>
      <c r="B364" s="3" t="s">
        <v>353</v>
      </c>
      <c r="C364" s="4">
        <f>SUMIFS([1]العمليات!G:G, [1]العمليات!B:B, A364, [1]العمليات!C:C, "إدخال") - SUMIFS([1]العمليات!G:G, [1]العمليات!B:B, A364, [1]العمليات!C:C, "إخراج")</f>
        <v>0</v>
      </c>
      <c r="D364" s="3">
        <f>IF(A364="","",IFERROR(LOOKUP(2,1/(([1]العمليات!$B$2:$B$1000=A364)*([1]العمليات!$H$2:$H$1000&lt;&gt;"")),[1]العمليات!$H$2:$H$1000),""))</f>
        <v>4</v>
      </c>
      <c r="E364" s="3">
        <f>IF(A364="","",IFERROR(LOOKUP(2,1/(([1]العمليات!$B$2:$B$1000=A364)*([1]العمليات!$I$2:$I$1000&lt;&gt;"")),[1]العمليات!$I$2:$I$1000),""))</f>
        <v>1</v>
      </c>
    </row>
    <row r="365" spans="1:5" x14ac:dyDescent="0.35">
      <c r="A365" s="5" t="s">
        <v>754</v>
      </c>
      <c r="B365" s="5" t="s">
        <v>755</v>
      </c>
      <c r="C365" s="6">
        <f>SUMIFS([1]العمليات!G:G, [1]العمليات!B:B, A365, [1]العمليات!C:C, "إدخال") - SUMIFS([1]العمليات!G:G, [1]العمليات!B:B, A365, [1]العمليات!C:C, "إخراج")</f>
        <v>315</v>
      </c>
      <c r="D365" s="5" t="str">
        <f>IF(A365="","",IFERROR(LOOKUP(2,1/(([1]العمليات!$B$2:$B$1000=A365)*([1]العمليات!$H$2:$H$1000&lt;&gt;"")),[1]العمليات!$H$2:$H$1000),""))</f>
        <v/>
      </c>
      <c r="E365" s="5" t="str">
        <f>IF(A365="","",IFERROR(LOOKUP(2,1/(([1]العمليات!$B$2:$B$1000=A365)*([1]العمليات!$I$2:$I$1000&lt;&gt;"")),[1]العمليات!$I$2:$I$1000),""))</f>
        <v/>
      </c>
    </row>
    <row r="366" spans="1:5" x14ac:dyDescent="0.35">
      <c r="A366" s="3" t="s">
        <v>756</v>
      </c>
      <c r="B366" s="3" t="s">
        <v>757</v>
      </c>
      <c r="C366" s="4">
        <f>SUMIFS([1]العمليات!G:G, [1]العمليات!B:B, A366, [1]العمليات!C:C, "إدخال") - SUMIFS([1]العمليات!G:G, [1]العمليات!B:B, A366, [1]العمليات!C:C, "إخراج")</f>
        <v>149</v>
      </c>
      <c r="D366" s="3" t="str">
        <f>IF(A366="","",IFERROR(LOOKUP(2,1/(([1]العمليات!$B$2:$B$1000=A366)*([1]العمليات!$H$2:$H$1000&lt;&gt;"")),[1]العمليات!$H$2:$H$1000),""))</f>
        <v/>
      </c>
      <c r="E366" s="3" t="str">
        <f>IF(A366="","",IFERROR(LOOKUP(2,1/(([1]العمليات!$B$2:$B$1000=A366)*([1]العمليات!$I$2:$I$1000&lt;&gt;"")),[1]العمليات!$I$2:$I$1000),""))</f>
        <v/>
      </c>
    </row>
    <row r="367" spans="1:5" x14ac:dyDescent="0.35">
      <c r="A367" s="5" t="s">
        <v>354</v>
      </c>
      <c r="B367" s="5" t="s">
        <v>355</v>
      </c>
      <c r="C367" s="6">
        <f>SUMIFS([1]العمليات!G:G, [1]العمليات!B:B, A367, [1]العمليات!C:C, "إدخال") - SUMIFS([1]العمليات!G:G, [1]العمليات!B:B, A367, [1]العمليات!C:C, "إخراج")</f>
        <v>1266</v>
      </c>
      <c r="D367" s="5">
        <f>IF(A367="","",IFERROR(LOOKUP(2,1/(([1]العمليات!$B$2:$B$1000=A367)*([1]العمليات!$H$2:$H$1000&lt;&gt;"")),[1]العمليات!$H$2:$H$1000),""))</f>
        <v>1</v>
      </c>
      <c r="E367" s="5">
        <f>IF(A367="","",IFERROR(LOOKUP(2,1/(([1]العمليات!$B$2:$B$1000=A367)*([1]العمليات!$I$2:$I$1000&lt;&gt;"")),[1]العمليات!$I$2:$I$1000),""))</f>
        <v>5</v>
      </c>
    </row>
    <row r="368" spans="1:5" x14ac:dyDescent="0.35">
      <c r="A368" s="3" t="s">
        <v>356</v>
      </c>
      <c r="B368" s="3" t="s">
        <v>357</v>
      </c>
      <c r="C368" s="4">
        <f>SUMIFS([1]العمليات!G:G, [1]العمليات!B:B, A368, [1]العمليات!C:C, "إدخال") - SUMIFS([1]العمليات!G:G, [1]العمليات!B:B, A368, [1]العمليات!C:C, "إخراج")</f>
        <v>991</v>
      </c>
      <c r="D368" s="3">
        <f>IF(A368="","",IFERROR(LOOKUP(2,1/(([1]العمليات!$B$2:$B$1000=A368)*([1]العمليات!$H$2:$H$1000&lt;&gt;"")),[1]العمليات!$H$2:$H$1000),""))</f>
        <v>6</v>
      </c>
      <c r="E368" s="3">
        <f>IF(A368="","",IFERROR(LOOKUP(2,1/(([1]العمليات!$B$2:$B$1000=A368)*([1]العمليات!$I$2:$I$1000&lt;&gt;"")),[1]العمليات!$I$2:$I$1000),""))</f>
        <v>2</v>
      </c>
    </row>
    <row r="369" spans="1:5" x14ac:dyDescent="0.35">
      <c r="A369" s="5" t="s">
        <v>358</v>
      </c>
      <c r="B369" s="5" t="s">
        <v>359</v>
      </c>
      <c r="C369" s="6">
        <f>SUMIFS([1]العمليات!G:G, [1]العمليات!B:B, A369, [1]العمليات!C:C, "إدخال") - SUMIFS([1]العمليات!G:G, [1]العمليات!B:B, A369, [1]العمليات!C:C, "إخراج")</f>
        <v>410</v>
      </c>
      <c r="D369" s="5">
        <f>IF(A369="","",IFERROR(LOOKUP(2,1/(([1]العمليات!$B$2:$B$1000=A369)*([1]العمليات!$H$2:$H$1000&lt;&gt;"")),[1]العمليات!$H$2:$H$1000),""))</f>
        <v>3</v>
      </c>
      <c r="E369" s="5">
        <f>IF(A369="","",IFERROR(LOOKUP(2,1/(([1]العمليات!$B$2:$B$1000=A369)*([1]العمليات!$I$2:$I$1000&lt;&gt;"")),[1]العمليات!$I$2:$I$1000),""))</f>
        <v>4</v>
      </c>
    </row>
    <row r="370" spans="1:5" x14ac:dyDescent="0.35">
      <c r="A370" s="3" t="s">
        <v>360</v>
      </c>
      <c r="B370" s="3" t="s">
        <v>361</v>
      </c>
      <c r="C370" s="4">
        <f>SUMIFS([1]العمليات!G:G, [1]العمليات!B:B, A370, [1]العمليات!C:C, "إدخال") - SUMIFS([1]العمليات!G:G, [1]العمليات!B:B, A370, [1]العمليات!C:C, "إخراج")</f>
        <v>538</v>
      </c>
      <c r="D370" s="3">
        <f>IF(A370="","",IFERROR(LOOKUP(2,1/(([1]العمليات!$B$2:$B$1000=A370)*([1]العمليات!$H$2:$H$1000&lt;&gt;"")),[1]العمليات!$H$2:$H$1000),""))</f>
        <v>6</v>
      </c>
      <c r="E370" s="3">
        <f>IF(A370="","",IFERROR(LOOKUP(2,1/(([1]العمليات!$B$2:$B$1000=A370)*([1]العمليات!$I$2:$I$1000&lt;&gt;"")),[1]العمليات!$I$2:$I$1000),""))</f>
        <v>1</v>
      </c>
    </row>
    <row r="371" spans="1:5" x14ac:dyDescent="0.35">
      <c r="A371" s="5" t="s">
        <v>758</v>
      </c>
      <c r="B371" s="5" t="s">
        <v>759</v>
      </c>
      <c r="C371" s="6">
        <f>SUMIFS([1]العمليات!G:G, [1]العمليات!B:B, A371, [1]العمليات!C:C, "إدخال") - SUMIFS([1]العمليات!G:G, [1]العمليات!B:B, A371, [1]العمليات!C:C, "إخراج")</f>
        <v>190</v>
      </c>
      <c r="D371" s="5" t="str">
        <f>IF(A371="","",IFERROR(LOOKUP(2,1/(([1]العمليات!$B$2:$B$1000=A371)*([1]العمليات!$H$2:$H$1000&lt;&gt;"")),[1]العمليات!$H$2:$H$1000),""))</f>
        <v/>
      </c>
      <c r="E371" s="5" t="str">
        <f>IF(A371="","",IFERROR(LOOKUP(2,1/(([1]العمليات!$B$2:$B$1000=A371)*([1]العمليات!$I$2:$I$1000&lt;&gt;"")),[1]العمليات!$I$2:$I$1000),""))</f>
        <v/>
      </c>
    </row>
    <row r="372" spans="1:5" x14ac:dyDescent="0.35">
      <c r="A372" s="3" t="s">
        <v>362</v>
      </c>
      <c r="B372" s="3" t="s">
        <v>363</v>
      </c>
      <c r="C372" s="4">
        <f>SUMIFS([1]العمليات!G:G, [1]العمليات!B:B, A372, [1]العمليات!C:C, "إدخال") - SUMIFS([1]العمليات!G:G, [1]العمليات!B:B, A372, [1]العمليات!C:C, "إخراج")</f>
        <v>1663</v>
      </c>
      <c r="D372" s="3">
        <f>IF(A372="","",IFERROR(LOOKUP(2,1/(([1]العمليات!$B$2:$B$1000=A372)*([1]العمليات!$H$2:$H$1000&lt;&gt;"")),[1]العمليات!$H$2:$H$1000),""))</f>
        <v>1</v>
      </c>
      <c r="E372" s="3">
        <f>IF(A372="","",IFERROR(LOOKUP(2,1/(([1]العمليات!$B$2:$B$1000=A372)*([1]العمليات!$I$2:$I$1000&lt;&gt;"")),[1]العمليات!$I$2:$I$1000),""))</f>
        <v>2</v>
      </c>
    </row>
    <row r="373" spans="1:5" x14ac:dyDescent="0.35">
      <c r="A373" s="5" t="s">
        <v>364</v>
      </c>
      <c r="B373" s="5" t="s">
        <v>365</v>
      </c>
      <c r="C373" s="6">
        <f>SUMIFS([1]العمليات!G:G, [1]العمليات!B:B, A373, [1]العمليات!C:C, "إدخال") - SUMIFS([1]العمليات!G:G, [1]العمليات!B:B, A373, [1]العمليات!C:C, "إخراج")</f>
        <v>395</v>
      </c>
      <c r="D373" s="5" t="str">
        <f>IF(A373="","",IFERROR(LOOKUP(2,1/(([1]العمليات!$B$2:$B$1000=A373)*([1]العمليات!$H$2:$H$1000&lt;&gt;"")),[1]العمليات!$H$2:$H$1000),""))</f>
        <v>مختوم ومسك</v>
      </c>
      <c r="E373" s="5" t="str">
        <f>IF(A373="","",IFERROR(LOOKUP(2,1/(([1]العمليات!$B$2:$B$1000=A373)*([1]العمليات!$I$2:$I$1000&lt;&gt;"")),[1]العمليات!$I$2:$I$1000),""))</f>
        <v>-</v>
      </c>
    </row>
    <row r="374" spans="1:5" x14ac:dyDescent="0.35">
      <c r="A374" s="3" t="s">
        <v>760</v>
      </c>
      <c r="B374" s="3" t="s">
        <v>761</v>
      </c>
      <c r="C374" s="4">
        <f>SUMIFS([1]العمليات!G:G, [1]العمليات!B:B, A374, [1]العمليات!C:C, "إدخال") - SUMIFS([1]العمليات!G:G, [1]العمليات!B:B, A374, [1]العمليات!C:C, "إخراج")</f>
        <v>127</v>
      </c>
      <c r="D374" s="3" t="str">
        <f>IF(A374="","",IFERROR(LOOKUP(2,1/(([1]العمليات!$B$2:$B$1000=A374)*([1]العمليات!$H$2:$H$1000&lt;&gt;"")),[1]العمليات!$H$2:$H$1000),""))</f>
        <v/>
      </c>
      <c r="E374" s="3" t="str">
        <f>IF(A374="","",IFERROR(LOOKUP(2,1/(([1]العمليات!$B$2:$B$1000=A374)*([1]العمليات!$I$2:$I$1000&lt;&gt;"")),[1]العمليات!$I$2:$I$1000),""))</f>
        <v/>
      </c>
    </row>
    <row r="375" spans="1:5" x14ac:dyDescent="0.35">
      <c r="A375" s="5" t="s">
        <v>366</v>
      </c>
      <c r="B375" s="5" t="s">
        <v>367</v>
      </c>
      <c r="C375" s="6">
        <f>SUMIFS([1]العمليات!G:G, [1]العمليات!B:B, A375, [1]العمليات!C:C, "إدخال") - SUMIFS([1]العمليات!G:G, [1]العمليات!B:B, A375, [1]العمليات!C:C, "إخراج")</f>
        <v>188</v>
      </c>
      <c r="D375" s="5">
        <f>IF(A375="","",IFERROR(LOOKUP(2,1/(([1]العمليات!$B$2:$B$1000=A375)*([1]العمليات!$H$2:$H$1000&lt;&gt;"")),[1]العمليات!$H$2:$H$1000),""))</f>
        <v>5</v>
      </c>
      <c r="E375" s="5">
        <f>IF(A375="","",IFERROR(LOOKUP(2,1/(([1]العمليات!$B$2:$B$1000=A375)*([1]العمليات!$I$2:$I$1000&lt;&gt;"")),[1]العمليات!$I$2:$I$1000),""))</f>
        <v>3</v>
      </c>
    </row>
    <row r="376" spans="1:5" x14ac:dyDescent="0.35">
      <c r="A376" s="3" t="s">
        <v>762</v>
      </c>
      <c r="B376" s="3" t="s">
        <v>763</v>
      </c>
      <c r="C376" s="4">
        <f>SUMIFS([1]العمليات!G:G, [1]العمليات!B:B, A376, [1]العمليات!C:C, "إدخال") - SUMIFS([1]العمليات!G:G, [1]العمليات!B:B, A376, [1]العمليات!C:C, "إخراج")</f>
        <v>733</v>
      </c>
      <c r="D376" s="3" t="str">
        <f>IF(A376="","",IFERROR(LOOKUP(2,1/(([1]العمليات!$B$2:$B$1000=A376)*([1]العمليات!$H$2:$H$1000&lt;&gt;"")),[1]العمليات!$H$2:$H$1000),""))</f>
        <v/>
      </c>
      <c r="E376" s="3" t="str">
        <f>IF(A376="","",IFERROR(LOOKUP(2,1/(([1]العمليات!$B$2:$B$1000=A376)*([1]العمليات!$I$2:$I$1000&lt;&gt;"")),[1]العمليات!$I$2:$I$1000),""))</f>
        <v/>
      </c>
    </row>
    <row r="377" spans="1:5" x14ac:dyDescent="0.35">
      <c r="A377" s="5" t="s">
        <v>764</v>
      </c>
      <c r="B377" s="5" t="s">
        <v>765</v>
      </c>
      <c r="C377" s="6">
        <f>SUMIFS([1]العمليات!G:G, [1]العمليات!B:B, A377, [1]العمليات!C:C, "إدخال") - SUMIFS([1]العمليات!G:G, [1]العمليات!B:B, A377, [1]العمليات!C:C, "إخراج")</f>
        <v>2033</v>
      </c>
      <c r="D377" s="5" t="str">
        <f>IF(A377="","",IFERROR(LOOKUP(2,1/(([1]العمليات!$B$2:$B$1000=A377)*([1]العمليات!$H$2:$H$1000&lt;&gt;"")),[1]العمليات!$H$2:$H$1000),""))</f>
        <v/>
      </c>
      <c r="E377" s="5" t="str">
        <f>IF(A377="","",IFERROR(LOOKUP(2,1/(([1]العمليات!$B$2:$B$1000=A377)*([1]العمليات!$I$2:$I$1000&lt;&gt;"")),[1]العمليات!$I$2:$I$1000),""))</f>
        <v/>
      </c>
    </row>
    <row r="378" spans="1:5" x14ac:dyDescent="0.35">
      <c r="A378" s="3" t="s">
        <v>368</v>
      </c>
      <c r="B378" s="3" t="s">
        <v>369</v>
      </c>
      <c r="C378" s="4">
        <f>SUMIFS([1]العمليات!G:G, [1]العمليات!B:B, A378, [1]العمليات!C:C, "إدخال") - SUMIFS([1]العمليات!G:G, [1]العمليات!B:B, A378, [1]العمليات!C:C, "إخراج")</f>
        <v>1322</v>
      </c>
      <c r="D378" s="3">
        <f>IF(A378="","",IFERROR(LOOKUP(2,1/(([1]العمليات!$B$2:$B$1000=A378)*([1]العمليات!$H$2:$H$1000&lt;&gt;"")),[1]العمليات!$H$2:$H$1000),""))</f>
        <v>2</v>
      </c>
      <c r="E378" s="3">
        <f>IF(A378="","",IFERROR(LOOKUP(2,1/(([1]العمليات!$B$2:$B$1000=A378)*([1]العمليات!$I$2:$I$1000&lt;&gt;"")),[1]العمليات!$I$2:$I$1000),""))</f>
        <v>1</v>
      </c>
    </row>
    <row r="379" spans="1:5" x14ac:dyDescent="0.35">
      <c r="A379" s="5" t="s">
        <v>766</v>
      </c>
      <c r="B379" s="5" t="s">
        <v>767</v>
      </c>
      <c r="C379" s="6">
        <f>SUMIFS([1]العمليات!G:G, [1]العمليات!B:B, A379, [1]العمليات!C:C, "إدخال") - SUMIFS([1]العمليات!G:G, [1]العمليات!B:B, A379, [1]العمليات!C:C, "إخراج")</f>
        <v>238</v>
      </c>
      <c r="D379" s="5" t="str">
        <f>IF(A379="","",IFERROR(LOOKUP(2,1/(([1]العمليات!$B$2:$B$1000=A379)*([1]العمليات!$H$2:$H$1000&lt;&gt;"")),[1]العمليات!$H$2:$H$1000),""))</f>
        <v/>
      </c>
      <c r="E379" s="5" t="str">
        <f>IF(A379="","",IFERROR(LOOKUP(2,1/(([1]العمليات!$B$2:$B$1000=A379)*([1]العمليات!$I$2:$I$1000&lt;&gt;"")),[1]العمليات!$I$2:$I$1000),""))</f>
        <v/>
      </c>
    </row>
    <row r="380" spans="1:5" x14ac:dyDescent="0.35">
      <c r="A380" s="3" t="s">
        <v>370</v>
      </c>
      <c r="B380" s="3" t="s">
        <v>371</v>
      </c>
      <c r="C380" s="4">
        <f>SUMIFS([1]العمليات!G:G, [1]العمليات!B:B, A380, [1]العمليات!C:C, "إدخال") - SUMIFS([1]العمليات!G:G, [1]العمليات!B:B, A380, [1]العمليات!C:C, "إخراج")</f>
        <v>2413</v>
      </c>
      <c r="D380" s="3">
        <f>IF(A380="","",IFERROR(LOOKUP(2,1/(([1]العمليات!$B$2:$B$1000=A380)*([1]العمليات!$H$2:$H$1000&lt;&gt;"")),[1]العمليات!$H$2:$H$1000),""))</f>
        <v>1</v>
      </c>
      <c r="E380" s="3">
        <f>IF(A380="","",IFERROR(LOOKUP(2,1/(([1]العمليات!$B$2:$B$1000=A380)*([1]العمليات!$I$2:$I$1000&lt;&gt;"")),[1]العمليات!$I$2:$I$1000),""))</f>
        <v>1</v>
      </c>
    </row>
    <row r="381" spans="1:5" x14ac:dyDescent="0.35">
      <c r="A381" s="5" t="s">
        <v>768</v>
      </c>
      <c r="B381" s="5" t="s">
        <v>769</v>
      </c>
      <c r="C381" s="6">
        <f>SUMIFS([1]العمليات!G:G, [1]العمليات!B:B, A381, [1]العمليات!C:C, "إدخال") - SUMIFS([1]العمليات!G:G, [1]العمليات!B:B, A381, [1]العمليات!C:C, "إخراج")</f>
        <v>387</v>
      </c>
      <c r="D381" s="5" t="str">
        <f>IF(A381="","",IFERROR(LOOKUP(2,1/(([1]العمليات!$B$2:$B$1000=A381)*([1]العمليات!$H$2:$H$1000&lt;&gt;"")),[1]العمليات!$H$2:$H$1000),""))</f>
        <v/>
      </c>
      <c r="E381" s="5" t="str">
        <f>IF(A381="","",IFERROR(LOOKUP(2,1/(([1]العمليات!$B$2:$B$1000=A381)*([1]العمليات!$I$2:$I$1000&lt;&gt;"")),[1]العمليات!$I$2:$I$1000),""))</f>
        <v/>
      </c>
    </row>
    <row r="382" spans="1:5" x14ac:dyDescent="0.35">
      <c r="A382" s="3" t="s">
        <v>372</v>
      </c>
      <c r="B382" s="3" t="s">
        <v>373</v>
      </c>
      <c r="C382" s="4">
        <f>SUMIFS([1]العمليات!G:G, [1]العمليات!B:B, A382, [1]العمليات!C:C, "إدخال") - SUMIFS([1]العمليات!G:G, [1]العمليات!B:B, A382, [1]العمليات!C:C, "إخراج")</f>
        <v>1200</v>
      </c>
      <c r="D382" s="3">
        <f>IF(A382="","",IFERROR(LOOKUP(2,1/(([1]العمليات!$B$2:$B$1000=A382)*([1]العمليات!$H$2:$H$1000&lt;&gt;"")),[1]العمليات!$H$2:$H$1000),""))</f>
        <v>5</v>
      </c>
      <c r="E382" s="3">
        <f>IF(A382="","",IFERROR(LOOKUP(2,1/(([1]العمليات!$B$2:$B$1000=A382)*([1]العمليات!$I$2:$I$1000&lt;&gt;"")),[1]العمليات!$I$2:$I$1000),""))</f>
        <v>2</v>
      </c>
    </row>
    <row r="383" spans="1:5" x14ac:dyDescent="0.35">
      <c r="A383" s="5" t="s">
        <v>374</v>
      </c>
      <c r="B383" s="5" t="s">
        <v>375</v>
      </c>
      <c r="C383" s="6">
        <f>SUMIFS([1]العمليات!G:G, [1]العمليات!B:B, A383, [1]العمليات!C:C, "إدخال") - SUMIFS([1]العمليات!G:G, [1]العمليات!B:B, A383, [1]العمليات!C:C, "إخراج")</f>
        <v>266</v>
      </c>
      <c r="D383" s="5">
        <f>IF(A383="","",IFERROR(LOOKUP(2,1/(([1]العمليات!$B$2:$B$1000=A383)*([1]العمليات!$H$2:$H$1000&lt;&gt;"")),[1]العمليات!$H$2:$H$1000),""))</f>
        <v>4</v>
      </c>
      <c r="E383" s="5">
        <f>IF(A383="","",IFERROR(LOOKUP(2,1/(([1]العمليات!$B$2:$B$1000=A383)*([1]العمليات!$I$2:$I$1000&lt;&gt;"")),[1]العمليات!$I$2:$I$1000),""))</f>
        <v>5</v>
      </c>
    </row>
    <row r="384" spans="1:5" x14ac:dyDescent="0.35">
      <c r="A384" s="3" t="s">
        <v>770</v>
      </c>
      <c r="B384" s="3" t="s">
        <v>771</v>
      </c>
      <c r="C384" s="4">
        <f>SUMIFS([1]العمليات!G:G, [1]العمليات!B:B, A384, [1]العمليات!C:C, "إدخال") - SUMIFS([1]العمليات!G:G, [1]العمليات!B:B, A384, [1]العمليات!C:C, "إخراج")</f>
        <v>497</v>
      </c>
      <c r="D384" s="3" t="str">
        <f>IF(A384="","",IFERROR(LOOKUP(2,1/(([1]العمليات!$B$2:$B$1000=A384)*([1]العمليات!$H$2:$H$1000&lt;&gt;"")),[1]العمليات!$H$2:$H$1000),""))</f>
        <v/>
      </c>
      <c r="E384" s="3" t="str">
        <f>IF(A384="","",IFERROR(LOOKUP(2,1/(([1]العمليات!$B$2:$B$1000=A384)*([1]العمليات!$I$2:$I$1000&lt;&gt;"")),[1]العمليات!$I$2:$I$1000),""))</f>
        <v/>
      </c>
    </row>
    <row r="385" spans="1:5" x14ac:dyDescent="0.35">
      <c r="A385" s="5" t="s">
        <v>772</v>
      </c>
      <c r="B385" s="5" t="s">
        <v>773</v>
      </c>
      <c r="C385" s="6">
        <f>SUMIFS([1]العمليات!G:G, [1]العمليات!B:B, A385, [1]العمليات!C:C, "إدخال") - SUMIFS([1]العمليات!G:G, [1]العمليات!B:B, A385, [1]العمليات!C:C, "إخراج")</f>
        <v>0</v>
      </c>
      <c r="D385" s="5" t="str">
        <f>IF(A385="","",IFERROR(LOOKUP(2,1/(([1]العمليات!$B$2:$B$1000=A385)*([1]العمليات!$H$2:$H$1000&lt;&gt;"")),[1]العمليات!$H$2:$H$1000),""))</f>
        <v/>
      </c>
      <c r="E385" s="5" t="str">
        <f>IF(A385="","",IFERROR(LOOKUP(2,1/(([1]العمليات!$B$2:$B$1000=A385)*([1]العمليات!$I$2:$I$1000&lt;&gt;"")),[1]العمليات!$I$2:$I$1000),""))</f>
        <v/>
      </c>
    </row>
    <row r="386" spans="1:5" x14ac:dyDescent="0.35">
      <c r="A386" s="3" t="s">
        <v>774</v>
      </c>
      <c r="B386" s="3" t="s">
        <v>775</v>
      </c>
      <c r="C386" s="4">
        <f>SUMIFS([1]العمليات!G:G, [1]العمليات!B:B, A386, [1]العمليات!C:C, "إدخال") - SUMIFS([1]العمليات!G:G, [1]العمليات!B:B, A386, [1]العمليات!C:C, "إخراج")</f>
        <v>2524</v>
      </c>
      <c r="D386" s="3" t="str">
        <f>IF(A386="","",IFERROR(LOOKUP(2,1/(([1]العمليات!$B$2:$B$1000=A386)*([1]العمليات!$H$2:$H$1000&lt;&gt;"")),[1]العمليات!$H$2:$H$1000),""))</f>
        <v/>
      </c>
      <c r="E386" s="3" t="str">
        <f>IF(A386="","",IFERROR(LOOKUP(2,1/(([1]العمليات!$B$2:$B$1000=A386)*([1]العمليات!$I$2:$I$1000&lt;&gt;"")),[1]العمليات!$I$2:$I$1000),""))</f>
        <v/>
      </c>
    </row>
    <row r="387" spans="1:5" x14ac:dyDescent="0.35">
      <c r="A387" s="5" t="s">
        <v>376</v>
      </c>
      <c r="B387" s="5" t="s">
        <v>377</v>
      </c>
      <c r="C387" s="6">
        <f>SUMIFS([1]العمليات!G:G, [1]العمليات!B:B, A387, [1]العمليات!C:C, "إدخال") - SUMIFS([1]العمليات!G:G, [1]العمليات!B:B, A387, [1]العمليات!C:C, "إخراج")</f>
        <v>776</v>
      </c>
      <c r="D387" s="5">
        <f>IF(A387="","",IFERROR(LOOKUP(2,1/(([1]العمليات!$B$2:$B$1000=A387)*([1]العمليات!$H$2:$H$1000&lt;&gt;"")),[1]العمليات!$H$2:$H$1000),""))</f>
        <v>3</v>
      </c>
      <c r="E387" s="5">
        <f>IF(A387="","",IFERROR(LOOKUP(2,1/(([1]العمليات!$B$2:$B$1000=A387)*([1]العمليات!$I$2:$I$1000&lt;&gt;"")),[1]العمليات!$I$2:$I$1000),""))</f>
        <v>3</v>
      </c>
    </row>
    <row r="388" spans="1:5" x14ac:dyDescent="0.35">
      <c r="A388" s="3" t="s">
        <v>777</v>
      </c>
      <c r="B388" s="3" t="s">
        <v>778</v>
      </c>
      <c r="C388" s="4">
        <f>SUMIFS([1]العمليات!G:G, [1]العمليات!B:B, A388, [1]العمليات!C:C, "إدخال") - SUMIFS([1]العمليات!G:G, [1]العمليات!B:B, A388, [1]العمليات!C:C, "إخراج")</f>
        <v>0</v>
      </c>
      <c r="D388" s="3" t="str">
        <f>IF(A388="","",IFERROR(LOOKUP(2,1/(([1]العمليات!$B$2:$B$1000=A388)*([1]العمليات!$H$2:$H$1000&lt;&gt;"")),[1]العمليات!$H$2:$H$1000),""))</f>
        <v/>
      </c>
      <c r="E388" s="3" t="str">
        <f>IF(A388="","",IFERROR(LOOKUP(2,1/(([1]العمليات!$B$2:$B$1000=A388)*([1]العمليات!$I$2:$I$1000&lt;&gt;"")),[1]العمليات!$I$2:$I$1000),""))</f>
        <v/>
      </c>
    </row>
    <row r="389" spans="1:5" x14ac:dyDescent="0.35">
      <c r="A389" s="5" t="s">
        <v>779</v>
      </c>
      <c r="B389" s="5" t="s">
        <v>780</v>
      </c>
      <c r="C389" s="6">
        <f>SUMIFS([1]العمليات!G:G, [1]العمليات!B:B, A389, [1]العمليات!C:C, "إدخال") - SUMIFS([1]العمليات!G:G, [1]العمليات!B:B, A389, [1]العمليات!C:C, "إخراج")</f>
        <v>493</v>
      </c>
      <c r="D389" s="5" t="str">
        <f>IF(A389="","",IFERROR(LOOKUP(2,1/(([1]العمليات!$B$2:$B$1000=A389)*([1]العمليات!$H$2:$H$1000&lt;&gt;"")),[1]العمليات!$H$2:$H$1000),""))</f>
        <v/>
      </c>
      <c r="E389" s="5" t="str">
        <f>IF(A389="","",IFERROR(LOOKUP(2,1/(([1]العمليات!$B$2:$B$1000=A389)*([1]العمليات!$I$2:$I$1000&lt;&gt;"")),[1]العمليات!$I$2:$I$1000),""))</f>
        <v/>
      </c>
    </row>
    <row r="390" spans="1:5" x14ac:dyDescent="0.35">
      <c r="A390" s="7" t="s">
        <v>781</v>
      </c>
      <c r="B390" s="3" t="s">
        <v>782</v>
      </c>
      <c r="C390" s="4">
        <f>SUMIFS([1]العمليات!G:G, [1]العمليات!B:B, A390, [1]العمليات!C:C, "إدخال") - SUMIFS([1]العمليات!G:G, [1]العمليات!B:B, A390, [1]العمليات!C:C, "إخراج")</f>
        <v>1249</v>
      </c>
      <c r="D390" s="3" t="str">
        <f>IF(A390="","",IFERROR(LOOKUP(2,1/(([1]العمليات!$B$2:$B$1000=A390)*([1]العمليات!$H$2:$H$1000&lt;&gt;"")),[1]العمليات!$H$2:$H$1000),""))</f>
        <v/>
      </c>
      <c r="E390" s="3" t="str">
        <f>IF(A390="","",IFERROR(LOOKUP(2,1/(([1]العمليات!$B$2:$B$1000=A390)*([1]العمليات!$I$2:$I$1000&lt;&gt;"")),[1]العمليات!$I$2:$I$1000),""))</f>
        <v/>
      </c>
    </row>
    <row r="391" spans="1:5" x14ac:dyDescent="0.35">
      <c r="A391" s="5" t="s">
        <v>783</v>
      </c>
      <c r="B391" s="5" t="s">
        <v>786</v>
      </c>
      <c r="C391" s="6">
        <f>SUMIFS([1]العمليات!G:G, [1]العمليات!B:B, A391, [1]العمليات!C:C, "إدخال") - SUMIFS([1]العمليات!G:G, [1]العمليات!B:B, A391, [1]العمليات!C:C, "إخراج")</f>
        <v>532</v>
      </c>
      <c r="D391" s="5" t="str">
        <f>IF(A391="","",IFERROR(LOOKUP(2,1/(([1]العمليات!$B$2:$B$1000=A391)*([1]العمليات!$H$2:$H$1000&lt;&gt;"")),[1]العمليات!$H$2:$H$1000),""))</f>
        <v/>
      </c>
      <c r="E391" s="5" t="str">
        <f>IF(A391="","",IFERROR(LOOKUP(2,1/(([1]العمليات!$B$2:$B$1000=A391)*([1]العمليات!$I$2:$I$1000&lt;&gt;"")),[1]العمليات!$I$2:$I$1000),""))</f>
        <v/>
      </c>
    </row>
    <row r="392" spans="1:5" x14ac:dyDescent="0.35">
      <c r="A392" s="3" t="s">
        <v>784</v>
      </c>
      <c r="B392" s="3" t="s">
        <v>787</v>
      </c>
      <c r="C392" s="4">
        <f>SUMIFS([1]العمليات!G:G, [1]العمليات!B:B, A392, [1]العمليات!C:C, "إدخال") - SUMIFS([1]العمليات!G:G, [1]العمليات!B:B, A392, [1]العمليات!C:C, "إخراج")</f>
        <v>1000</v>
      </c>
      <c r="D392" s="3" t="str">
        <f>IF(A392="","",IFERROR(LOOKUP(2,1/(([1]العمليات!$B$2:$B$1000=A392)*([1]العمليات!$H$2:$H$1000&lt;&gt;"")),[1]العمليات!$H$2:$H$1000),""))</f>
        <v/>
      </c>
      <c r="E392" s="3" t="str">
        <f>IF(A392="","",IFERROR(LOOKUP(2,1/(([1]العمليات!$B$2:$B$1000=A392)*([1]العمليات!$I$2:$I$1000&lt;&gt;"")),[1]العمليات!$I$2:$I$1000),""))</f>
        <v/>
      </c>
    </row>
    <row r="393" spans="1:5" x14ac:dyDescent="0.35">
      <c r="A393" s="8" t="s">
        <v>785</v>
      </c>
      <c r="B393" s="5" t="s">
        <v>788</v>
      </c>
      <c r="C393" s="6">
        <f>SUMIFS([1]العمليات!G:G, [1]العمليات!B:B, A393, [1]العمليات!C:C, "إدخال") - SUMIFS([1]العمليات!G:G, [1]العمليات!B:B, A393, [1]العمليات!C:C, "إخراج")</f>
        <v>435</v>
      </c>
      <c r="D393" s="5" t="str">
        <f>IF(A393="","",IFERROR(LOOKUP(2,1/(([1]العمليات!$B$2:$B$1000=A393)*([1]العمليات!$H$2:$H$1000&lt;&gt;"")),[1]العمليات!$H$2:$H$1000),""))</f>
        <v/>
      </c>
      <c r="E393" s="5" t="str">
        <f>IF(A393="","",IFERROR(LOOKUP(2,1/(([1]العمليات!$B$2:$B$1000=A393)*([1]العمليات!$I$2:$I$1000&lt;&gt;"")),[1]العمليات!$I$2:$I$1000),""))</f>
        <v/>
      </c>
    </row>
    <row r="394" spans="1:5" x14ac:dyDescent="0.35">
      <c r="A394" s="7" t="s">
        <v>789</v>
      </c>
      <c r="B394" s="7" t="s">
        <v>790</v>
      </c>
      <c r="C394" s="4">
        <f>SUMIFS([1]العمليات!G:G, [1]العمليات!B:B, A394, [1]العمليات!C:C, "إدخال") - SUMIFS([1]العمليات!G:G, [1]العمليات!B:B, A394, [1]العمليات!C:C, "إخراج")</f>
        <v>0</v>
      </c>
      <c r="D394" s="3" t="str">
        <f>IF(A394="","",IFERROR(LOOKUP(2,1/(([1]العمليات!$B$2:$B$1000=A394)*([1]العمليات!$H$2:$H$1000&lt;&gt;"")),[1]العمليات!$H$2:$H$1000),""))</f>
        <v/>
      </c>
      <c r="E394" s="3" t="str">
        <f>IF(A394="","",IFERROR(LOOKUP(2,1/(([1]العمليات!$B$2:$B$1000=A394)*([1]العمليات!$I$2:$I$1000&lt;&gt;"")),[1]العمليات!$I$2:$I$1000),""))</f>
        <v/>
      </c>
    </row>
  </sheetData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2026-09-06T05:47:25Z</cp:lastPrinted>
  <dcterms:created xsi:type="dcterms:W3CDTF">2026-08-25T06:10:31Z</dcterms:created>
  <dcterms:modified xsi:type="dcterms:W3CDTF">2026-10-24T06:50:07Z</dcterms:modified>
</cp:coreProperties>
</file>