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DF4A3538-A5AA-4D5C-B793-3F3A2C396667}" xr6:coauthVersionLast="47" xr6:coauthVersionMax="47" xr10:uidLastSave="{00000000-0000-0000-0000-000000000000}"/>
  <bookViews>
    <workbookView xWindow="-110" yWindow="-110" windowWidth="25820" windowHeight="15500" xr2:uid="{9343A25C-0B88-4B0B-A742-86A483E39D84}"/>
  </bookViews>
  <sheets>
    <sheet name="ورقة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87" i="1" l="1"/>
  <c r="D387" i="1"/>
  <c r="C387" i="1"/>
  <c r="E386" i="1"/>
  <c r="D386" i="1"/>
  <c r="C386" i="1"/>
  <c r="E385" i="1"/>
  <c r="D385" i="1"/>
  <c r="C385" i="1"/>
  <c r="E384" i="1"/>
  <c r="D384" i="1"/>
  <c r="C384" i="1"/>
  <c r="E383" i="1"/>
  <c r="D383" i="1"/>
  <c r="C383" i="1"/>
  <c r="E382" i="1"/>
  <c r="D382" i="1"/>
  <c r="C382" i="1"/>
  <c r="E381" i="1"/>
  <c r="D381" i="1"/>
  <c r="C381" i="1"/>
  <c r="E380" i="1"/>
  <c r="D380" i="1"/>
  <c r="C380" i="1"/>
  <c r="E379" i="1"/>
  <c r="D379" i="1"/>
  <c r="C379" i="1"/>
  <c r="E378" i="1"/>
  <c r="D378" i="1"/>
  <c r="C378" i="1"/>
  <c r="E377" i="1"/>
  <c r="D377" i="1"/>
  <c r="C377" i="1"/>
  <c r="E376" i="1"/>
  <c r="D376" i="1"/>
  <c r="C376" i="1"/>
  <c r="E375" i="1"/>
  <c r="D375" i="1"/>
  <c r="C375" i="1"/>
  <c r="E374" i="1"/>
  <c r="D374" i="1"/>
  <c r="C374" i="1"/>
  <c r="E373" i="1"/>
  <c r="D373" i="1"/>
  <c r="C373" i="1"/>
  <c r="E372" i="1"/>
  <c r="D372" i="1"/>
  <c r="C372" i="1"/>
  <c r="E371" i="1"/>
  <c r="D371" i="1"/>
  <c r="C371" i="1"/>
  <c r="E370" i="1"/>
  <c r="D370" i="1"/>
  <c r="C370" i="1"/>
  <c r="E369" i="1"/>
  <c r="D369" i="1"/>
  <c r="C369" i="1"/>
  <c r="E368" i="1"/>
  <c r="D368" i="1"/>
  <c r="C368" i="1"/>
  <c r="E367" i="1"/>
  <c r="D367" i="1"/>
  <c r="C367" i="1"/>
  <c r="E366" i="1"/>
  <c r="D366" i="1"/>
  <c r="C366" i="1"/>
  <c r="E365" i="1"/>
  <c r="D365" i="1"/>
  <c r="C365" i="1"/>
  <c r="E364" i="1"/>
  <c r="D364" i="1"/>
  <c r="C364" i="1"/>
  <c r="E363" i="1"/>
  <c r="D363" i="1"/>
  <c r="C363" i="1"/>
  <c r="E362" i="1"/>
  <c r="D362" i="1"/>
  <c r="C362" i="1"/>
  <c r="E361" i="1"/>
  <c r="D361" i="1"/>
  <c r="C361" i="1"/>
  <c r="E360" i="1"/>
  <c r="D360" i="1"/>
  <c r="C360" i="1"/>
  <c r="E359" i="1"/>
  <c r="D359" i="1"/>
  <c r="C359" i="1"/>
  <c r="E358" i="1"/>
  <c r="D358" i="1"/>
  <c r="C358" i="1"/>
  <c r="E357" i="1"/>
  <c r="D357" i="1"/>
  <c r="C357" i="1"/>
  <c r="E356" i="1"/>
  <c r="D356" i="1"/>
  <c r="C356" i="1"/>
  <c r="E355" i="1"/>
  <c r="D355" i="1"/>
  <c r="C355" i="1"/>
  <c r="E354" i="1"/>
  <c r="D354" i="1"/>
  <c r="C354" i="1"/>
  <c r="E353" i="1"/>
  <c r="D353" i="1"/>
  <c r="C353" i="1"/>
  <c r="E352" i="1"/>
  <c r="D352" i="1"/>
  <c r="C352" i="1"/>
  <c r="E351" i="1"/>
  <c r="D351" i="1"/>
  <c r="C351" i="1"/>
  <c r="E350" i="1"/>
  <c r="D350" i="1"/>
  <c r="C350" i="1"/>
  <c r="E349" i="1"/>
  <c r="D349" i="1"/>
  <c r="C349" i="1"/>
  <c r="E348" i="1"/>
  <c r="D348" i="1"/>
  <c r="C348" i="1"/>
  <c r="E347" i="1"/>
  <c r="D347" i="1"/>
  <c r="C347" i="1"/>
  <c r="E346" i="1"/>
  <c r="D346" i="1"/>
  <c r="C346" i="1"/>
  <c r="E345" i="1"/>
  <c r="D345" i="1"/>
  <c r="C345" i="1"/>
  <c r="E344" i="1"/>
  <c r="D344" i="1"/>
  <c r="C344" i="1"/>
  <c r="E343" i="1"/>
  <c r="D343" i="1"/>
  <c r="C343" i="1"/>
  <c r="E342" i="1"/>
  <c r="D342" i="1"/>
  <c r="C342" i="1"/>
  <c r="E341" i="1"/>
  <c r="D341" i="1"/>
  <c r="C341" i="1"/>
  <c r="E340" i="1"/>
  <c r="D340" i="1"/>
  <c r="C340" i="1"/>
  <c r="E339" i="1"/>
  <c r="D339" i="1"/>
  <c r="C339" i="1"/>
  <c r="E338" i="1"/>
  <c r="D338" i="1"/>
  <c r="C338" i="1"/>
  <c r="E337" i="1"/>
  <c r="D337" i="1"/>
  <c r="C337" i="1"/>
  <c r="E336" i="1"/>
  <c r="D336" i="1"/>
  <c r="C336" i="1"/>
  <c r="E335" i="1"/>
  <c r="D335" i="1"/>
  <c r="C335" i="1"/>
  <c r="E334" i="1"/>
  <c r="D334" i="1"/>
  <c r="C334" i="1"/>
  <c r="E333" i="1"/>
  <c r="D333" i="1"/>
  <c r="C333" i="1"/>
  <c r="E332" i="1"/>
  <c r="D332" i="1"/>
  <c r="C332" i="1"/>
  <c r="E331" i="1"/>
  <c r="D331" i="1"/>
  <c r="C331" i="1"/>
  <c r="E330" i="1"/>
  <c r="D330" i="1"/>
  <c r="C330" i="1"/>
  <c r="E329" i="1"/>
  <c r="D329" i="1"/>
  <c r="C329" i="1"/>
  <c r="E328" i="1"/>
  <c r="D328" i="1"/>
  <c r="C328" i="1"/>
  <c r="E327" i="1"/>
  <c r="D327" i="1"/>
  <c r="C327" i="1"/>
  <c r="E326" i="1"/>
  <c r="D326" i="1"/>
  <c r="C326" i="1"/>
  <c r="E325" i="1"/>
  <c r="D325" i="1"/>
  <c r="C325" i="1"/>
  <c r="E324" i="1"/>
  <c r="D324" i="1"/>
  <c r="C324" i="1"/>
  <c r="E323" i="1"/>
  <c r="D323" i="1"/>
  <c r="C323" i="1"/>
  <c r="E322" i="1"/>
  <c r="D322" i="1"/>
  <c r="C322" i="1"/>
  <c r="E321" i="1"/>
  <c r="D321" i="1"/>
  <c r="C321" i="1"/>
  <c r="E320" i="1"/>
  <c r="D320" i="1"/>
  <c r="C320" i="1"/>
  <c r="E319" i="1"/>
  <c r="D319" i="1"/>
  <c r="C319" i="1"/>
  <c r="E318" i="1"/>
  <c r="D318" i="1"/>
  <c r="C318" i="1"/>
  <c r="E317" i="1"/>
  <c r="D317" i="1"/>
  <c r="C317" i="1"/>
  <c r="E316" i="1"/>
  <c r="D316" i="1"/>
  <c r="C316" i="1"/>
  <c r="E315" i="1"/>
  <c r="D315" i="1"/>
  <c r="C315" i="1"/>
  <c r="E314" i="1"/>
  <c r="D314" i="1"/>
  <c r="C314" i="1"/>
  <c r="E313" i="1"/>
  <c r="D313" i="1"/>
  <c r="C313" i="1"/>
  <c r="E312" i="1"/>
  <c r="D312" i="1"/>
  <c r="C312" i="1"/>
  <c r="E311" i="1"/>
  <c r="D311" i="1"/>
  <c r="C311" i="1"/>
  <c r="E310" i="1"/>
  <c r="D310" i="1"/>
  <c r="C310" i="1"/>
  <c r="E309" i="1"/>
  <c r="D309" i="1"/>
  <c r="C309" i="1"/>
  <c r="E308" i="1"/>
  <c r="D308" i="1"/>
  <c r="C308" i="1"/>
  <c r="E307" i="1"/>
  <c r="D307" i="1"/>
  <c r="C307" i="1"/>
  <c r="E306" i="1"/>
  <c r="D306" i="1"/>
  <c r="C306" i="1"/>
  <c r="E305" i="1"/>
  <c r="D305" i="1"/>
  <c r="C305" i="1"/>
  <c r="E304" i="1"/>
  <c r="D304" i="1"/>
  <c r="C304" i="1"/>
  <c r="E303" i="1"/>
  <c r="D303" i="1"/>
  <c r="C303" i="1"/>
  <c r="E302" i="1"/>
  <c r="D302" i="1"/>
  <c r="C302" i="1"/>
  <c r="E301" i="1"/>
  <c r="D301" i="1"/>
  <c r="C301" i="1"/>
  <c r="E300" i="1"/>
  <c r="D300" i="1"/>
  <c r="C300" i="1"/>
  <c r="E299" i="1"/>
  <c r="D299" i="1"/>
  <c r="C299" i="1"/>
  <c r="E298" i="1"/>
  <c r="D298" i="1"/>
  <c r="C298" i="1"/>
  <c r="E297" i="1"/>
  <c r="D297" i="1"/>
  <c r="C297" i="1"/>
  <c r="E296" i="1"/>
  <c r="D296" i="1"/>
  <c r="C296" i="1"/>
  <c r="E295" i="1"/>
  <c r="D295" i="1"/>
  <c r="C295" i="1"/>
  <c r="E294" i="1"/>
  <c r="D294" i="1"/>
  <c r="C294" i="1"/>
  <c r="E293" i="1"/>
  <c r="D293" i="1"/>
  <c r="C293" i="1"/>
  <c r="E292" i="1"/>
  <c r="D292" i="1"/>
  <c r="C292" i="1"/>
  <c r="E291" i="1"/>
  <c r="D291" i="1"/>
  <c r="C291" i="1"/>
  <c r="E290" i="1"/>
  <c r="D290" i="1"/>
  <c r="C290" i="1"/>
  <c r="E289" i="1"/>
  <c r="D289" i="1"/>
  <c r="C289" i="1"/>
  <c r="E288" i="1"/>
  <c r="D288" i="1"/>
  <c r="C288" i="1"/>
  <c r="E287" i="1"/>
  <c r="D287" i="1"/>
  <c r="C287" i="1"/>
  <c r="E286" i="1"/>
  <c r="D286" i="1"/>
  <c r="C286" i="1"/>
  <c r="E285" i="1"/>
  <c r="D285" i="1"/>
  <c r="C285" i="1"/>
  <c r="E284" i="1"/>
  <c r="D284" i="1"/>
  <c r="C284" i="1"/>
  <c r="E283" i="1"/>
  <c r="D283" i="1"/>
  <c r="C283" i="1"/>
  <c r="E282" i="1"/>
  <c r="D282" i="1"/>
  <c r="C282" i="1"/>
  <c r="E281" i="1"/>
  <c r="D281" i="1"/>
  <c r="C281" i="1"/>
  <c r="E280" i="1"/>
  <c r="D280" i="1"/>
  <c r="C280" i="1"/>
  <c r="E279" i="1"/>
  <c r="D279" i="1"/>
  <c r="C279" i="1"/>
  <c r="E278" i="1"/>
  <c r="D278" i="1"/>
  <c r="C278" i="1"/>
  <c r="E277" i="1"/>
  <c r="D277" i="1"/>
  <c r="C277" i="1"/>
  <c r="E276" i="1"/>
  <c r="D276" i="1"/>
  <c r="C276" i="1"/>
  <c r="E275" i="1"/>
  <c r="D275" i="1"/>
  <c r="C275" i="1"/>
  <c r="E274" i="1"/>
  <c r="D274" i="1"/>
  <c r="C274" i="1"/>
  <c r="E273" i="1"/>
  <c r="D273" i="1"/>
  <c r="C273" i="1"/>
  <c r="E272" i="1"/>
  <c r="D272" i="1"/>
  <c r="C272" i="1"/>
  <c r="E271" i="1"/>
  <c r="D271" i="1"/>
  <c r="C271" i="1"/>
  <c r="E270" i="1"/>
  <c r="D270" i="1"/>
  <c r="C270" i="1"/>
  <c r="E269" i="1"/>
  <c r="D269" i="1"/>
  <c r="C269" i="1"/>
  <c r="E268" i="1"/>
  <c r="D268" i="1"/>
  <c r="C268" i="1"/>
  <c r="E267" i="1"/>
  <c r="D267" i="1"/>
  <c r="C267" i="1"/>
  <c r="E266" i="1"/>
  <c r="D266" i="1"/>
  <c r="C266" i="1"/>
  <c r="E265" i="1"/>
  <c r="D265" i="1"/>
  <c r="C265" i="1"/>
  <c r="E264" i="1"/>
  <c r="D264" i="1"/>
  <c r="C264" i="1"/>
  <c r="E263" i="1"/>
  <c r="D263" i="1"/>
  <c r="C263" i="1"/>
  <c r="E262" i="1"/>
  <c r="D262" i="1"/>
  <c r="C262" i="1"/>
  <c r="E261" i="1"/>
  <c r="D261" i="1"/>
  <c r="C261" i="1"/>
  <c r="E260" i="1"/>
  <c r="D260" i="1"/>
  <c r="C260" i="1"/>
  <c r="E259" i="1"/>
  <c r="D259" i="1"/>
  <c r="C259" i="1"/>
  <c r="E258" i="1"/>
  <c r="D258" i="1"/>
  <c r="C258" i="1"/>
  <c r="E257" i="1"/>
  <c r="D257" i="1"/>
  <c r="C257" i="1"/>
  <c r="E256" i="1"/>
  <c r="D256" i="1"/>
  <c r="C256" i="1"/>
  <c r="E255" i="1"/>
  <c r="D255" i="1"/>
  <c r="C255" i="1"/>
  <c r="E254" i="1"/>
  <c r="D254" i="1"/>
  <c r="C254" i="1"/>
  <c r="E253" i="1"/>
  <c r="D253" i="1"/>
  <c r="C253" i="1"/>
  <c r="E252" i="1"/>
  <c r="D252" i="1"/>
  <c r="C252" i="1"/>
  <c r="E251" i="1"/>
  <c r="D251" i="1"/>
  <c r="C251" i="1"/>
  <c r="E250" i="1"/>
  <c r="D250" i="1"/>
  <c r="C250" i="1"/>
  <c r="E249" i="1"/>
  <c r="D249" i="1"/>
  <c r="C249" i="1"/>
  <c r="E248" i="1"/>
  <c r="D248" i="1"/>
  <c r="C248" i="1"/>
  <c r="E247" i="1"/>
  <c r="D247" i="1"/>
  <c r="C247" i="1"/>
  <c r="E246" i="1"/>
  <c r="D246" i="1"/>
  <c r="C246" i="1"/>
  <c r="E245" i="1"/>
  <c r="D245" i="1"/>
  <c r="C245" i="1"/>
  <c r="E244" i="1"/>
  <c r="D244" i="1"/>
  <c r="C244" i="1"/>
  <c r="E243" i="1"/>
  <c r="D243" i="1"/>
  <c r="C243" i="1"/>
  <c r="E242" i="1"/>
  <c r="D242" i="1"/>
  <c r="C242" i="1"/>
  <c r="E241" i="1"/>
  <c r="D241" i="1"/>
  <c r="C241" i="1"/>
  <c r="E240" i="1"/>
  <c r="D240" i="1"/>
  <c r="C240" i="1"/>
  <c r="E239" i="1"/>
  <c r="D239" i="1"/>
  <c r="C239" i="1"/>
  <c r="E238" i="1"/>
  <c r="D238" i="1"/>
  <c r="C238" i="1"/>
  <c r="E237" i="1"/>
  <c r="D237" i="1"/>
  <c r="C237" i="1"/>
  <c r="E236" i="1"/>
  <c r="D236" i="1"/>
  <c r="C236" i="1"/>
  <c r="E235" i="1"/>
  <c r="D235" i="1"/>
  <c r="C235" i="1"/>
  <c r="E234" i="1"/>
  <c r="D234" i="1"/>
  <c r="C234" i="1"/>
  <c r="E233" i="1"/>
  <c r="D233" i="1"/>
  <c r="C233" i="1"/>
  <c r="E232" i="1"/>
  <c r="D232" i="1"/>
  <c r="C232" i="1"/>
  <c r="E231" i="1"/>
  <c r="D231" i="1"/>
  <c r="C231" i="1"/>
  <c r="E230" i="1"/>
  <c r="D230" i="1"/>
  <c r="C230" i="1"/>
  <c r="E229" i="1"/>
  <c r="D229" i="1"/>
  <c r="C229" i="1"/>
  <c r="E228" i="1"/>
  <c r="D228" i="1"/>
  <c r="C228" i="1"/>
  <c r="E227" i="1"/>
  <c r="D227" i="1"/>
  <c r="C227" i="1"/>
  <c r="E226" i="1"/>
  <c r="D226" i="1"/>
  <c r="C226" i="1"/>
  <c r="E225" i="1"/>
  <c r="D225" i="1"/>
  <c r="C225" i="1"/>
  <c r="E224" i="1"/>
  <c r="D224" i="1"/>
  <c r="C224" i="1"/>
  <c r="E223" i="1"/>
  <c r="D223" i="1"/>
  <c r="C223" i="1"/>
  <c r="E222" i="1"/>
  <c r="D222" i="1"/>
  <c r="C222" i="1"/>
  <c r="E221" i="1"/>
  <c r="D221" i="1"/>
  <c r="C221" i="1"/>
  <c r="E220" i="1"/>
  <c r="D220" i="1"/>
  <c r="C220" i="1"/>
  <c r="E219" i="1"/>
  <c r="D219" i="1"/>
  <c r="C219" i="1"/>
  <c r="E218" i="1"/>
  <c r="D218" i="1"/>
  <c r="C218" i="1"/>
  <c r="E217" i="1"/>
  <c r="D217" i="1"/>
  <c r="C217" i="1"/>
  <c r="E216" i="1"/>
  <c r="D216" i="1"/>
  <c r="C216" i="1"/>
  <c r="E215" i="1"/>
  <c r="D215" i="1"/>
  <c r="C215" i="1"/>
  <c r="E214" i="1"/>
  <c r="D214" i="1"/>
  <c r="C214" i="1"/>
  <c r="E213" i="1"/>
  <c r="D213" i="1"/>
  <c r="C213" i="1"/>
  <c r="E212" i="1"/>
  <c r="D212" i="1"/>
  <c r="C212" i="1"/>
  <c r="E211" i="1"/>
  <c r="D211" i="1"/>
  <c r="C211" i="1"/>
  <c r="E210" i="1"/>
  <c r="D210" i="1"/>
  <c r="C210" i="1"/>
  <c r="E209" i="1"/>
  <c r="D209" i="1"/>
  <c r="C209" i="1"/>
  <c r="E208" i="1"/>
  <c r="D208" i="1"/>
  <c r="C208" i="1"/>
  <c r="E207" i="1"/>
  <c r="D207" i="1"/>
  <c r="C207" i="1"/>
  <c r="E206" i="1"/>
  <c r="D206" i="1"/>
  <c r="C206" i="1"/>
  <c r="E205" i="1"/>
  <c r="D205" i="1"/>
  <c r="C205" i="1"/>
  <c r="E204" i="1"/>
  <c r="D204" i="1"/>
  <c r="C204" i="1"/>
  <c r="E203" i="1"/>
  <c r="D203" i="1"/>
  <c r="C203" i="1"/>
  <c r="E202" i="1"/>
  <c r="D202" i="1"/>
  <c r="C202" i="1"/>
  <c r="E201" i="1"/>
  <c r="D201" i="1"/>
  <c r="C201" i="1"/>
  <c r="E200" i="1"/>
  <c r="D200" i="1"/>
  <c r="C200" i="1"/>
  <c r="E199" i="1"/>
  <c r="D199" i="1"/>
  <c r="C199" i="1"/>
  <c r="E198" i="1"/>
  <c r="D198" i="1"/>
  <c r="C198" i="1"/>
  <c r="E197" i="1"/>
  <c r="D197" i="1"/>
  <c r="C197" i="1"/>
  <c r="E196" i="1"/>
  <c r="D196" i="1"/>
  <c r="C196" i="1"/>
  <c r="E195" i="1"/>
  <c r="D195" i="1"/>
  <c r="C195" i="1"/>
  <c r="E194" i="1"/>
  <c r="D194" i="1"/>
  <c r="C194" i="1"/>
  <c r="E193" i="1"/>
  <c r="D193" i="1"/>
  <c r="C193" i="1"/>
  <c r="E192" i="1"/>
  <c r="D192" i="1"/>
  <c r="C192" i="1"/>
  <c r="E191" i="1"/>
  <c r="D191" i="1"/>
  <c r="C191" i="1"/>
  <c r="E190" i="1"/>
  <c r="D190" i="1"/>
  <c r="C190" i="1"/>
  <c r="E189" i="1"/>
  <c r="D189" i="1"/>
  <c r="C189" i="1"/>
  <c r="E188" i="1"/>
  <c r="D188" i="1"/>
  <c r="C188" i="1"/>
  <c r="E187" i="1"/>
  <c r="D187" i="1"/>
  <c r="C187" i="1"/>
  <c r="E186" i="1"/>
  <c r="D186" i="1"/>
  <c r="C186" i="1"/>
  <c r="E185" i="1"/>
  <c r="D185" i="1"/>
  <c r="C185" i="1"/>
  <c r="E184" i="1"/>
  <c r="D184" i="1"/>
  <c r="C184" i="1"/>
  <c r="E183" i="1"/>
  <c r="D183" i="1"/>
  <c r="C183" i="1"/>
  <c r="E182" i="1"/>
  <c r="D182" i="1"/>
  <c r="C182" i="1"/>
  <c r="E181" i="1"/>
  <c r="D181" i="1"/>
  <c r="C181" i="1"/>
  <c r="E180" i="1"/>
  <c r="D180" i="1"/>
  <c r="C180" i="1"/>
  <c r="E179" i="1"/>
  <c r="D179" i="1"/>
  <c r="C179" i="1"/>
  <c r="E178" i="1"/>
  <c r="D178" i="1"/>
  <c r="C178" i="1"/>
  <c r="E177" i="1"/>
  <c r="D177" i="1"/>
  <c r="C177" i="1"/>
  <c r="E176" i="1"/>
  <c r="D176" i="1"/>
  <c r="C176" i="1"/>
  <c r="E175" i="1"/>
  <c r="D175" i="1"/>
  <c r="C175" i="1"/>
  <c r="E174" i="1"/>
  <c r="D174" i="1"/>
  <c r="C174" i="1"/>
  <c r="E173" i="1"/>
  <c r="D173" i="1"/>
  <c r="C173" i="1"/>
  <c r="E172" i="1"/>
  <c r="D172" i="1"/>
  <c r="C172" i="1"/>
  <c r="E171" i="1"/>
  <c r="D171" i="1"/>
  <c r="C171" i="1"/>
  <c r="E170" i="1"/>
  <c r="D170" i="1"/>
  <c r="C170" i="1"/>
  <c r="E169" i="1"/>
  <c r="D169" i="1"/>
  <c r="C169" i="1"/>
  <c r="E168" i="1"/>
  <c r="D168" i="1"/>
  <c r="C168" i="1"/>
  <c r="E167" i="1"/>
  <c r="D167" i="1"/>
  <c r="C167" i="1"/>
  <c r="E166" i="1"/>
  <c r="D166" i="1"/>
  <c r="C166" i="1"/>
  <c r="E165" i="1"/>
  <c r="D165" i="1"/>
  <c r="C165" i="1"/>
  <c r="E164" i="1"/>
  <c r="D164" i="1"/>
  <c r="C164" i="1"/>
  <c r="E163" i="1"/>
  <c r="D163" i="1"/>
  <c r="C163" i="1"/>
  <c r="E162" i="1"/>
  <c r="D162" i="1"/>
  <c r="C162" i="1"/>
  <c r="E161" i="1"/>
  <c r="D161" i="1"/>
  <c r="C161" i="1"/>
  <c r="E160" i="1"/>
  <c r="D160" i="1"/>
  <c r="C160" i="1"/>
  <c r="E159" i="1"/>
  <c r="D159" i="1"/>
  <c r="C159" i="1"/>
  <c r="E158" i="1"/>
  <c r="D158" i="1"/>
  <c r="C158" i="1"/>
  <c r="E157" i="1"/>
  <c r="D157" i="1"/>
  <c r="C157" i="1"/>
  <c r="E156" i="1"/>
  <c r="D156" i="1"/>
  <c r="C156" i="1"/>
  <c r="E155" i="1"/>
  <c r="D155" i="1"/>
  <c r="C155" i="1"/>
  <c r="E154" i="1"/>
  <c r="D154" i="1"/>
  <c r="C154" i="1"/>
  <c r="E153" i="1"/>
  <c r="D153" i="1"/>
  <c r="C153" i="1"/>
  <c r="E152" i="1"/>
  <c r="D152" i="1"/>
  <c r="C152" i="1"/>
  <c r="E151" i="1"/>
  <c r="D151" i="1"/>
  <c r="C151" i="1"/>
  <c r="E150" i="1"/>
  <c r="D150" i="1"/>
  <c r="C150" i="1"/>
  <c r="E149" i="1"/>
  <c r="D149" i="1"/>
  <c r="C149" i="1"/>
  <c r="E148" i="1"/>
  <c r="D148" i="1"/>
  <c r="C148" i="1"/>
  <c r="E147" i="1"/>
  <c r="D147" i="1"/>
  <c r="C147" i="1"/>
  <c r="E146" i="1"/>
  <c r="D146" i="1"/>
  <c r="C146" i="1"/>
  <c r="E145" i="1"/>
  <c r="D145" i="1"/>
  <c r="C145" i="1"/>
  <c r="E144" i="1"/>
  <c r="D144" i="1"/>
  <c r="C144" i="1"/>
  <c r="E143" i="1"/>
  <c r="D143" i="1"/>
  <c r="C143" i="1"/>
  <c r="E142" i="1"/>
  <c r="D142" i="1"/>
  <c r="C142" i="1"/>
  <c r="E141" i="1"/>
  <c r="D141" i="1"/>
  <c r="C141" i="1"/>
  <c r="E140" i="1"/>
  <c r="D140" i="1"/>
  <c r="C140" i="1"/>
  <c r="E139" i="1"/>
  <c r="D139" i="1"/>
  <c r="C139" i="1"/>
  <c r="E138" i="1"/>
  <c r="D138" i="1"/>
  <c r="C138" i="1"/>
  <c r="E137" i="1"/>
  <c r="D137" i="1"/>
  <c r="C137" i="1"/>
  <c r="E136" i="1"/>
  <c r="D136" i="1"/>
  <c r="C136" i="1"/>
  <c r="E135" i="1"/>
  <c r="D135" i="1"/>
  <c r="C135" i="1"/>
  <c r="E134" i="1"/>
  <c r="D134" i="1"/>
  <c r="C134" i="1"/>
  <c r="E133" i="1"/>
  <c r="D133" i="1"/>
  <c r="C133" i="1"/>
  <c r="E132" i="1"/>
  <c r="D132" i="1"/>
  <c r="C132" i="1"/>
  <c r="E131" i="1"/>
  <c r="D131" i="1"/>
  <c r="C131" i="1"/>
  <c r="E130" i="1"/>
  <c r="D130" i="1"/>
  <c r="C130" i="1"/>
  <c r="E129" i="1"/>
  <c r="D129" i="1"/>
  <c r="C129" i="1"/>
  <c r="E128" i="1"/>
  <c r="D128" i="1"/>
  <c r="C128" i="1"/>
  <c r="E127" i="1"/>
  <c r="D127" i="1"/>
  <c r="C127" i="1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E121" i="1"/>
  <c r="D121" i="1"/>
  <c r="C121" i="1"/>
  <c r="E120" i="1"/>
  <c r="D120" i="1"/>
  <c r="C120" i="1"/>
  <c r="E119" i="1"/>
  <c r="D119" i="1"/>
  <c r="C119" i="1"/>
  <c r="E118" i="1"/>
  <c r="D118" i="1"/>
  <c r="C118" i="1"/>
  <c r="E117" i="1"/>
  <c r="D117" i="1"/>
  <c r="C117" i="1"/>
  <c r="E116" i="1"/>
  <c r="D116" i="1"/>
  <c r="C116" i="1"/>
  <c r="E115" i="1"/>
  <c r="D115" i="1"/>
  <c r="C115" i="1"/>
  <c r="E114" i="1"/>
  <c r="D114" i="1"/>
  <c r="C114" i="1"/>
  <c r="E113" i="1"/>
  <c r="D113" i="1"/>
  <c r="C113" i="1"/>
  <c r="E112" i="1"/>
  <c r="D112" i="1"/>
  <c r="C112" i="1"/>
  <c r="E111" i="1"/>
  <c r="D111" i="1"/>
  <c r="C111" i="1"/>
  <c r="E110" i="1"/>
  <c r="D110" i="1"/>
  <c r="C110" i="1"/>
  <c r="E109" i="1"/>
  <c r="D109" i="1"/>
  <c r="C109" i="1"/>
  <c r="E108" i="1"/>
  <c r="D108" i="1"/>
  <c r="C108" i="1"/>
  <c r="E107" i="1"/>
  <c r="D107" i="1"/>
  <c r="C107" i="1"/>
  <c r="E106" i="1"/>
  <c r="D106" i="1"/>
  <c r="C106" i="1"/>
  <c r="E105" i="1"/>
  <c r="D105" i="1"/>
  <c r="C105" i="1"/>
  <c r="E104" i="1"/>
  <c r="D104" i="1"/>
  <c r="C104" i="1"/>
  <c r="E103" i="1"/>
  <c r="D103" i="1"/>
  <c r="C103" i="1"/>
  <c r="E102" i="1"/>
  <c r="D102" i="1"/>
  <c r="C102" i="1"/>
  <c r="E101" i="1"/>
  <c r="D101" i="1"/>
  <c r="C101" i="1"/>
  <c r="E100" i="1"/>
  <c r="D100" i="1"/>
  <c r="C100" i="1"/>
  <c r="E99" i="1"/>
  <c r="D99" i="1"/>
  <c r="C99" i="1"/>
  <c r="E98" i="1"/>
  <c r="D98" i="1"/>
  <c r="C98" i="1"/>
  <c r="E97" i="1"/>
  <c r="D97" i="1"/>
  <c r="C97" i="1"/>
  <c r="E96" i="1"/>
  <c r="D96" i="1"/>
  <c r="C96" i="1"/>
  <c r="E95" i="1"/>
  <c r="D95" i="1"/>
  <c r="C95" i="1"/>
  <c r="E94" i="1"/>
  <c r="D94" i="1"/>
  <c r="C94" i="1"/>
  <c r="E93" i="1"/>
  <c r="D93" i="1"/>
  <c r="C93" i="1"/>
  <c r="E92" i="1"/>
  <c r="D92" i="1"/>
  <c r="C92" i="1"/>
  <c r="E91" i="1"/>
  <c r="D91" i="1"/>
  <c r="C91" i="1"/>
  <c r="E90" i="1"/>
  <c r="D90" i="1"/>
  <c r="C90" i="1"/>
  <c r="E89" i="1"/>
  <c r="D89" i="1"/>
  <c r="C89" i="1"/>
  <c r="E88" i="1"/>
  <c r="D88" i="1"/>
  <c r="C88" i="1"/>
  <c r="E87" i="1"/>
  <c r="D87" i="1"/>
  <c r="C87" i="1"/>
  <c r="E86" i="1"/>
  <c r="D86" i="1"/>
  <c r="C86" i="1"/>
  <c r="E85" i="1"/>
  <c r="D85" i="1"/>
  <c r="C85" i="1"/>
  <c r="E84" i="1"/>
  <c r="D84" i="1"/>
  <c r="C84" i="1"/>
  <c r="E83" i="1"/>
  <c r="D83" i="1"/>
  <c r="C83" i="1"/>
  <c r="E82" i="1"/>
  <c r="D82" i="1"/>
  <c r="C82" i="1"/>
  <c r="E81" i="1"/>
  <c r="D81" i="1"/>
  <c r="C81" i="1"/>
  <c r="E80" i="1"/>
  <c r="D80" i="1"/>
  <c r="C80" i="1"/>
  <c r="E79" i="1"/>
  <c r="D79" i="1"/>
  <c r="C79" i="1"/>
  <c r="E78" i="1"/>
  <c r="D78" i="1"/>
  <c r="C78" i="1"/>
  <c r="E77" i="1"/>
  <c r="D77" i="1"/>
  <c r="C77" i="1"/>
  <c r="E76" i="1"/>
  <c r="D76" i="1"/>
  <c r="C76" i="1"/>
  <c r="E75" i="1"/>
  <c r="D75" i="1"/>
  <c r="C75" i="1"/>
  <c r="E74" i="1"/>
  <c r="D74" i="1"/>
  <c r="C74" i="1"/>
  <c r="E73" i="1"/>
  <c r="D73" i="1"/>
  <c r="C73" i="1"/>
  <c r="E72" i="1"/>
  <c r="D72" i="1"/>
  <c r="C72" i="1"/>
  <c r="E71" i="1"/>
  <c r="D71" i="1"/>
  <c r="C71" i="1"/>
  <c r="E70" i="1"/>
  <c r="D70" i="1"/>
  <c r="C70" i="1"/>
  <c r="E69" i="1"/>
  <c r="D69" i="1"/>
  <c r="C69" i="1"/>
  <c r="E68" i="1"/>
  <c r="D68" i="1"/>
  <c r="C68" i="1"/>
  <c r="E67" i="1"/>
  <c r="D67" i="1"/>
  <c r="C67" i="1"/>
  <c r="E66" i="1"/>
  <c r="D66" i="1"/>
  <c r="C66" i="1"/>
  <c r="E65" i="1"/>
  <c r="D65" i="1"/>
  <c r="C65" i="1"/>
  <c r="E64" i="1"/>
  <c r="D64" i="1"/>
  <c r="C64" i="1"/>
  <c r="E63" i="1"/>
  <c r="D63" i="1"/>
  <c r="C63" i="1"/>
  <c r="E62" i="1"/>
  <c r="D62" i="1"/>
  <c r="C62" i="1"/>
  <c r="E61" i="1"/>
  <c r="D61" i="1"/>
  <c r="C61" i="1"/>
  <c r="E60" i="1"/>
  <c r="D60" i="1"/>
  <c r="C60" i="1"/>
  <c r="E59" i="1"/>
  <c r="D59" i="1"/>
  <c r="C59" i="1"/>
  <c r="E58" i="1"/>
  <c r="D58" i="1"/>
  <c r="C58" i="1"/>
  <c r="E57" i="1"/>
  <c r="D57" i="1"/>
  <c r="C57" i="1"/>
  <c r="E56" i="1"/>
  <c r="D56" i="1"/>
  <c r="C56" i="1"/>
  <c r="E55" i="1"/>
  <c r="D55" i="1"/>
  <c r="C55" i="1"/>
  <c r="E54" i="1"/>
  <c r="D54" i="1"/>
  <c r="C54" i="1"/>
  <c r="E53" i="1"/>
  <c r="D53" i="1"/>
  <c r="C53" i="1"/>
  <c r="E52" i="1"/>
  <c r="D52" i="1"/>
  <c r="C52" i="1"/>
  <c r="E51" i="1"/>
  <c r="D51" i="1"/>
  <c r="C51" i="1"/>
  <c r="E50" i="1"/>
  <c r="D50" i="1"/>
  <c r="C50" i="1"/>
  <c r="E49" i="1"/>
  <c r="D49" i="1"/>
  <c r="C49" i="1"/>
  <c r="E48" i="1"/>
  <c r="D48" i="1"/>
  <c r="C48" i="1"/>
  <c r="E47" i="1"/>
  <c r="D47" i="1"/>
  <c r="C47" i="1"/>
  <c r="E46" i="1"/>
  <c r="D46" i="1"/>
  <c r="C46" i="1"/>
  <c r="E45" i="1"/>
  <c r="D45" i="1"/>
  <c r="C45" i="1"/>
  <c r="E44" i="1"/>
  <c r="D44" i="1"/>
  <c r="C44" i="1"/>
  <c r="E43" i="1"/>
  <c r="D43" i="1"/>
  <c r="C43" i="1"/>
  <c r="E42" i="1"/>
  <c r="D42" i="1"/>
  <c r="C42" i="1"/>
  <c r="E41" i="1"/>
  <c r="D41" i="1"/>
  <c r="C41" i="1"/>
  <c r="E40" i="1"/>
  <c r="D40" i="1"/>
  <c r="C40" i="1"/>
  <c r="E39" i="1"/>
  <c r="D39" i="1"/>
  <c r="C39" i="1"/>
  <c r="E38" i="1"/>
  <c r="D38" i="1"/>
  <c r="C3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E4" i="1"/>
  <c r="D4" i="1"/>
  <c r="C4" i="1"/>
  <c r="E3" i="1"/>
  <c r="D3" i="1"/>
  <c r="C3" i="1"/>
  <c r="E2" i="1"/>
  <c r="D2" i="1"/>
  <c r="C2" i="1"/>
</calcChain>
</file>

<file path=xl/sharedStrings.xml><?xml version="1.0" encoding="utf-8"?>
<sst xmlns="http://schemas.openxmlformats.org/spreadsheetml/2006/main" count="777" uniqueCount="777">
  <si>
    <t>اسم الزيت</t>
  </si>
  <si>
    <t>كود الزيت</t>
  </si>
  <si>
    <t>الكمية الحالية (غ)</t>
  </si>
  <si>
    <t>رقم الخزانة</t>
  </si>
  <si>
    <t>رقم الرف</t>
  </si>
  <si>
    <t>اترنتي كالفين كلاين - نسائي</t>
  </si>
  <si>
    <t>0004-W</t>
  </si>
  <si>
    <t>اربابورا  سوسبيرو - رجالي</t>
  </si>
  <si>
    <t>0008-M</t>
  </si>
  <si>
    <t>اربيان تونكا مونتال - للجنسين</t>
  </si>
  <si>
    <t>0009-U</t>
  </si>
  <si>
    <t>ازارو  كروم ليجينت  - رجالي</t>
  </si>
  <si>
    <t>0011-M</t>
  </si>
  <si>
    <t>ازارو كروم - رجالي</t>
  </si>
  <si>
    <t>0013-M</t>
  </si>
  <si>
    <t>ازارو وانتد غيرل - نسائي</t>
  </si>
  <si>
    <t>0014-W</t>
  </si>
  <si>
    <t>اسنترك ماليكولاس 002 -للجنسين</t>
  </si>
  <si>
    <t>0017-U</t>
  </si>
  <si>
    <t>اسينشال لاكوست - رجالي</t>
  </si>
  <si>
    <t>0018-M</t>
  </si>
  <si>
    <t>اكسترا فاغانس - مستودع</t>
  </si>
  <si>
    <t>0022-S</t>
  </si>
  <si>
    <t>اكسينتو اكس ارجوف - للجنسين</t>
  </si>
  <si>
    <t>0023-U</t>
  </si>
  <si>
    <t>اكوا برافا - بينو سيلفيستر - رجالي</t>
  </si>
  <si>
    <t>0024-M</t>
  </si>
  <si>
    <t>اكوا دي جيو جورجيو ارماني - رجالي</t>
  </si>
  <si>
    <t>0025-M</t>
  </si>
  <si>
    <t>الثائر بارفان دي مارلي - رجالي</t>
  </si>
  <si>
    <t>0027-M</t>
  </si>
  <si>
    <t>الكسندريا 2 اكس زارجوف - رجالي</t>
  </si>
  <si>
    <t>0028-M</t>
  </si>
  <si>
    <t>الور هوم سبورت شانيل - رجالي</t>
  </si>
  <si>
    <t>0030-M</t>
  </si>
  <si>
    <t>امبري لذر توم فورد - رجالي</t>
  </si>
  <si>
    <t>0031-M</t>
  </si>
  <si>
    <t>امبريال فاليه قصة - للجنسين</t>
  </si>
  <si>
    <t>0032-U</t>
  </si>
  <si>
    <t>امريكان سبريت امريكان - رجالي</t>
  </si>
  <si>
    <t>0034-M</t>
  </si>
  <si>
    <t>انجل بورفام - نسائي</t>
  </si>
  <si>
    <t>0035-W</t>
  </si>
  <si>
    <t>انرجايس هوغو - رجالي</t>
  </si>
  <si>
    <t>0036-M</t>
  </si>
  <si>
    <t xml:space="preserve">اني نيشاني - للجنسين </t>
  </si>
  <si>
    <t>0041-U</t>
  </si>
  <si>
    <t>انيس انيس - نسائي</t>
  </si>
  <si>
    <t>0042-W</t>
  </si>
  <si>
    <t>اوريغانزا جيفينشي - نسائي</t>
  </si>
  <si>
    <t>0044-W</t>
  </si>
  <si>
    <t>اوشن لونج سكادة - نسائي</t>
  </si>
  <si>
    <t>0046-W</t>
  </si>
  <si>
    <t>ايجوست بلاتينيوم شانيل - رجالي</t>
  </si>
  <si>
    <t>0049-M</t>
  </si>
  <si>
    <t>ايدول لانكوم - نسائي</t>
  </si>
  <si>
    <t>0050-W</t>
  </si>
  <si>
    <t>ايلي صعب - نسائي</t>
  </si>
  <si>
    <t>0058-W</t>
  </si>
  <si>
    <t>ايماجينيشن L.V - رجالي</t>
  </si>
  <si>
    <t>0061-M</t>
  </si>
  <si>
    <t>باد بوي كارولينا هيريرا - رجالي</t>
  </si>
  <si>
    <t>0063-M</t>
  </si>
  <si>
    <t xml:space="preserve">بارادايس غاردن  جامبول غويته - رجالي </t>
  </si>
  <si>
    <t>0065-M</t>
  </si>
  <si>
    <t>باراديسو روبيرتو كافالي  - نسائي</t>
  </si>
  <si>
    <t>0066-W</t>
  </si>
  <si>
    <t>باشا دي كارتير - رجالي</t>
  </si>
  <si>
    <t>0071-M</t>
  </si>
  <si>
    <t>بخور العرائس ارض الزعفران -للجنسين</t>
  </si>
  <si>
    <t>0074-U</t>
  </si>
  <si>
    <t>بربل ليبل USA -رجالي</t>
  </si>
  <si>
    <t>0078-M</t>
  </si>
  <si>
    <t>بربري فور هير - نسائي</t>
  </si>
  <si>
    <t>0079-W</t>
  </si>
  <si>
    <t>بروت  -رجالي</t>
  </si>
  <si>
    <t>0083-M</t>
  </si>
  <si>
    <t>بريميير - همر - رجالي</t>
  </si>
  <si>
    <t>0084-M</t>
  </si>
  <si>
    <t>بكرات روج mfk -للجنسين</t>
  </si>
  <si>
    <t>0085-U</t>
  </si>
  <si>
    <t>بلاك افغانو ناسوماتو - للجنسين</t>
  </si>
  <si>
    <t>0086-U</t>
  </si>
  <si>
    <t>بلاك اوبيوم Y.S.L - نسائي</t>
  </si>
  <si>
    <t>0091-W</t>
  </si>
  <si>
    <t>بليجرز  استي لودر - نسائي</t>
  </si>
  <si>
    <t>0099-W</t>
  </si>
  <si>
    <t xml:space="preserve">بوا امبريال اسينشيال - للجنسين </t>
  </si>
  <si>
    <t>0100-U</t>
  </si>
  <si>
    <t>بتلد بوس - رجالي</t>
  </si>
  <si>
    <t>0103-M</t>
  </si>
  <si>
    <t>بودي بربري -نسائي</t>
  </si>
  <si>
    <t>0104-W</t>
  </si>
  <si>
    <t>بولو بلو - رجالي</t>
  </si>
  <si>
    <t>0110-M</t>
  </si>
  <si>
    <t>بومب شيل فيكتوريا سيكرت - نسائي</t>
  </si>
  <si>
    <t>0111-W</t>
  </si>
  <si>
    <t>بيكوز اتس يو امبريو ارماني - نسائي</t>
  </si>
  <si>
    <t>0116-W</t>
  </si>
  <si>
    <t>بينك شيفون - يارا - نسائي</t>
  </si>
  <si>
    <t>0118-W</t>
  </si>
  <si>
    <t>بيور بوازون كريستيان ديور  نسائي</t>
  </si>
  <si>
    <t>0119-W</t>
  </si>
  <si>
    <t>تاتش اوف بينك لاكوست - نسائي</t>
  </si>
  <si>
    <t>0121-W</t>
  </si>
  <si>
    <t>تاج سنسيت سكادة - نسائي</t>
  </si>
  <si>
    <t>0122-W</t>
  </si>
  <si>
    <t>تشالينج لاكوست - رجالي</t>
  </si>
  <si>
    <t>0126-M</t>
  </si>
  <si>
    <t>تفاح - للجنسين</t>
  </si>
  <si>
    <t>0128-U</t>
  </si>
  <si>
    <t xml:space="preserve">توباكو فانيل توم فورد - للجنسين </t>
  </si>
  <si>
    <t>0129-U</t>
  </si>
  <si>
    <t>توسكان لذر توم فورد - للجنسين</t>
  </si>
  <si>
    <t>0131-U</t>
  </si>
  <si>
    <t>جادور كريستيان ديور - نسائي</t>
  </si>
  <si>
    <t>0138-W</t>
  </si>
  <si>
    <t>جاكومو كازا نوفا - رجالي</t>
  </si>
  <si>
    <t>0139-M</t>
  </si>
  <si>
    <t>جان فرانكوفيري - رجالي</t>
  </si>
  <si>
    <t>0141-M</t>
  </si>
  <si>
    <t>جوب بورهوم - رجالي</t>
  </si>
  <si>
    <t>0142-M</t>
  </si>
  <si>
    <t>جوي فل سكادة - نسائي</t>
  </si>
  <si>
    <t>0144-W</t>
  </si>
  <si>
    <t>جي جورجيو بيفرلي هيلز - نسائي</t>
  </si>
  <si>
    <t>0147-W</t>
  </si>
  <si>
    <t>خمرة قهوة لطافة -للجنسين</t>
  </si>
  <si>
    <t>0153-U</t>
  </si>
  <si>
    <t>خمرة لطافة - للجنسين</t>
  </si>
  <si>
    <t>0154-U</t>
  </si>
  <si>
    <t>دوف -  للجنسين</t>
  </si>
  <si>
    <t>0157-U</t>
  </si>
  <si>
    <t>ديزاير دينهيل - رجالي</t>
  </si>
  <si>
    <t>0159-M</t>
  </si>
  <si>
    <t>ديلينا بارفام ديمارلي - نسائي</t>
  </si>
  <si>
    <t>0160-W</t>
  </si>
  <si>
    <t>ذا غيم دافيدوف - رجالي</t>
  </si>
  <si>
    <t>0163-M</t>
  </si>
  <si>
    <t>راش غوتشي - نسائي</t>
  </si>
  <si>
    <t>0166-W</t>
  </si>
  <si>
    <t>رالف رولين - روج - نسائي</t>
  </si>
  <si>
    <t>0167-W</t>
  </si>
  <si>
    <t>روز اوف نومان باي ريدو - مستودع</t>
  </si>
  <si>
    <t>0170-S</t>
  </si>
  <si>
    <t>روز فانيل مانسيرا - للجنسين</t>
  </si>
  <si>
    <t>0171-U</t>
  </si>
  <si>
    <t xml:space="preserve">روز مسك مونتال - للجنسين </t>
  </si>
  <si>
    <t>0172-U</t>
  </si>
  <si>
    <t>رومانس رصاصي - نسائي</t>
  </si>
  <si>
    <t>0174-W</t>
  </si>
  <si>
    <t>رومبا - نسائي</t>
  </si>
  <si>
    <t>0175-W</t>
  </si>
  <si>
    <t>زهرة البنفسج -للجنسين</t>
  </si>
  <si>
    <t>0180-U</t>
  </si>
  <si>
    <t xml:space="preserve">زهرة التوليب - للجنسين </t>
  </si>
  <si>
    <t>0181-U</t>
  </si>
  <si>
    <t xml:space="preserve">زهرة لافندر - للجنسين </t>
  </si>
  <si>
    <t>0185-U</t>
  </si>
  <si>
    <t>زهرة ليلك - للجنسين</t>
  </si>
  <si>
    <t>0186-U</t>
  </si>
  <si>
    <t>سبايس بومب فيكتور رولف - رجالي</t>
  </si>
  <si>
    <t>0187-M</t>
  </si>
  <si>
    <t>سترونغر وذ يو امبريو ارماني - رجالي</t>
  </si>
  <si>
    <t>0189-M</t>
  </si>
  <si>
    <t>ستيلا - دي سيديلا - نسائي</t>
  </si>
  <si>
    <t>0192-W</t>
  </si>
  <si>
    <t>ستيلر تايم - ايمرالد - للجنسين</t>
  </si>
  <si>
    <t>0193-U</t>
  </si>
  <si>
    <t>سكاندل بايي نايت جامبول غوتيه -رجالي</t>
  </si>
  <si>
    <t>0194-M</t>
  </si>
  <si>
    <t>سكاندل بايي نايت جامبول غوتيه -نسائي</t>
  </si>
  <si>
    <t>0195-W</t>
  </si>
  <si>
    <t xml:space="preserve">سلك مسك رصاصي - لاكشري مسك - للجنسين </t>
  </si>
  <si>
    <t>0198-U</t>
  </si>
  <si>
    <t>سنشوال جوهان بي - نسائي</t>
  </si>
  <si>
    <t>0200-W</t>
  </si>
  <si>
    <t>سنو مان - سكلبيتشر - رجالي</t>
  </si>
  <si>
    <t>0201-M</t>
  </si>
  <si>
    <t>سوفاج الكسير كريستيان ديور - رجالي</t>
  </si>
  <si>
    <t>0202-M</t>
  </si>
  <si>
    <t>سوفاج كريستيان ديور - رجالي</t>
  </si>
  <si>
    <t>0203-M</t>
  </si>
  <si>
    <t>سي جورجيو ارماني - نسائي</t>
  </si>
  <si>
    <t>0207-W</t>
  </si>
  <si>
    <t>سي كي ون كالفين كلاين - رجالي</t>
  </si>
  <si>
    <t>0208-M</t>
  </si>
  <si>
    <t>سيكسي 212 كارولينا هيريرا - رجالي</t>
  </si>
  <si>
    <t>0211-M</t>
  </si>
  <si>
    <t>سيلفر داست - غبار الفضة - ميدنايت فانتازي - نسائي</t>
  </si>
  <si>
    <t>0214-W</t>
  </si>
  <si>
    <t>سيلفر مونتن - كريد ابيض - الوسام - رجالي</t>
  </si>
  <si>
    <t>0217-M</t>
  </si>
  <si>
    <t>شانص اوتندر شانيل - نسائي</t>
  </si>
  <si>
    <t>0218-W</t>
  </si>
  <si>
    <t>شانص شانيل - نسائي</t>
  </si>
  <si>
    <t>0219-W</t>
  </si>
  <si>
    <t>شيخ الشيوخ لطافة - للجنسين</t>
  </si>
  <si>
    <t>0225-U</t>
  </si>
  <si>
    <t>عنبر عود اجمل - للجنسين</t>
  </si>
  <si>
    <t>0226-U</t>
  </si>
  <si>
    <t>عود ابيض - رصاصي - للجنسين</t>
  </si>
  <si>
    <t>0228-U</t>
  </si>
  <si>
    <t>عود الابياد - إبراهيم القرشيي - للجنسين</t>
  </si>
  <si>
    <t>0229-U</t>
  </si>
  <si>
    <t>عود غوتشي - للجنسين</t>
  </si>
  <si>
    <t>0233-U</t>
  </si>
  <si>
    <t xml:space="preserve">عود فور غرتنس  اينيتيو - للجنسين </t>
  </si>
  <si>
    <t>0234-U</t>
  </si>
  <si>
    <t>عود مضاوي العربية للعود - للجنسين</t>
  </si>
  <si>
    <t>0237-U</t>
  </si>
  <si>
    <t>غود غيرل كارولينا هيريرا - نسائي</t>
  </si>
  <si>
    <t>0243-W</t>
  </si>
  <si>
    <t xml:space="preserve">غولدين داست -غبار الذهب - فانيل - للجنسين </t>
  </si>
  <si>
    <t>0244-U</t>
  </si>
  <si>
    <t xml:space="preserve">فا - للجنسين </t>
  </si>
  <si>
    <t>0246-U</t>
  </si>
  <si>
    <t xml:space="preserve">فانتازيا بريتني سبيرس - للجنسين </t>
  </si>
  <si>
    <t>0247-U</t>
  </si>
  <si>
    <t>فلانتينو بورن ان روما - نسائي</t>
  </si>
  <si>
    <t>0252-W</t>
  </si>
  <si>
    <t>فلانتينو في - دارج رصاصي - رجالي</t>
  </si>
  <si>
    <t>0253-M</t>
  </si>
  <si>
    <t xml:space="preserve">فلور مسك نارسيسو رودريغيز - للجنسين </t>
  </si>
  <si>
    <t>0256-U</t>
  </si>
  <si>
    <t xml:space="preserve">فلور ناركوتيك اكسنيهيلو - للجنسين </t>
  </si>
  <si>
    <t>0257-U</t>
  </si>
  <si>
    <t>فندي بورهوم - رجالي</t>
  </si>
  <si>
    <t>0259-M</t>
  </si>
  <si>
    <t>فهرنهايت كريستيان ديور - رجالي</t>
  </si>
  <si>
    <t>0260-M</t>
  </si>
  <si>
    <t xml:space="preserve">فوالا قصة - للجنسين </t>
  </si>
  <si>
    <t>0261-U</t>
  </si>
  <si>
    <t>فوياج  اراميس - رجالي</t>
  </si>
  <si>
    <t>0262-M</t>
  </si>
  <si>
    <t>في أي ابي 212كارولينا هيريرا - نسائي</t>
  </si>
  <si>
    <t>0264-W</t>
  </si>
  <si>
    <t>في أي بي 212 كارولينا هيريرا- رجالي</t>
  </si>
  <si>
    <t>0265-M</t>
  </si>
  <si>
    <t>كاريرا - زهرة الخليج - للجنسين</t>
  </si>
  <si>
    <t>0270-U</t>
  </si>
  <si>
    <t xml:space="preserve">كركي تزيانا تيرينزي - للجنسين </t>
  </si>
  <si>
    <t>0271-U</t>
  </si>
  <si>
    <t>كريستوبال -مستودع</t>
  </si>
  <si>
    <t>0273-S</t>
  </si>
  <si>
    <t>كلمات العربية للعود - للجنسين</t>
  </si>
  <si>
    <t>0274-U</t>
  </si>
  <si>
    <t>كوكونات باشن فيكتوريا سيكرت - نسائي</t>
  </si>
  <si>
    <t>0277-W</t>
  </si>
  <si>
    <t>كول ووتر دافيدوف -رجالي</t>
  </si>
  <si>
    <t>0278-M</t>
  </si>
  <si>
    <t>كيالي فانيل  28 - نسائي</t>
  </si>
  <si>
    <t>0280-W</t>
  </si>
  <si>
    <t>كينزو بورهوم - رجالي</t>
  </si>
  <si>
    <t>0282-M</t>
  </si>
  <si>
    <t>كينغ غولتشيي اند غابانا - K- رجالي</t>
  </si>
  <si>
    <t>0283-M</t>
  </si>
  <si>
    <t>لابومبا كارولينا هيريرا -  نسائي</t>
  </si>
  <si>
    <t>0285-W</t>
  </si>
  <si>
    <t>لابيدوس تيد - رجالي</t>
  </si>
  <si>
    <t>0286-M</t>
  </si>
  <si>
    <t>لاكوست وايت - رجالي</t>
  </si>
  <si>
    <t>0293-M</t>
  </si>
  <si>
    <t>لالونا - عود ماركوجا - للجنسين</t>
  </si>
  <si>
    <t>0294-U</t>
  </si>
  <si>
    <t>لاهوم ايفسان لوران Y.S.L -رجالي</t>
  </si>
  <si>
    <t>0296-M</t>
  </si>
  <si>
    <t>لايت بلو بورهوم دولتشي غابانا - رجالي</t>
  </si>
  <si>
    <t>0298-M</t>
  </si>
  <si>
    <t xml:space="preserve">لايت شوكلت - شوكولا - للجنسين </t>
  </si>
  <si>
    <t>0299-U</t>
  </si>
  <si>
    <t>لكي مان - رجالي</t>
  </si>
  <si>
    <t>0301-M</t>
  </si>
  <si>
    <t>لو ديسي ايسي مياكي -رجالي</t>
  </si>
  <si>
    <t>0303-M</t>
  </si>
  <si>
    <t>لورد جورج بينك هاليسون - رجالي</t>
  </si>
  <si>
    <t>0304-M</t>
  </si>
  <si>
    <t>لوف اذ هفنلي فيكتوريا سكرت - نسائي</t>
  </si>
  <si>
    <t>0306-W</t>
  </si>
  <si>
    <t xml:space="preserve">لوكس - للجنسين </t>
  </si>
  <si>
    <t>0307-U</t>
  </si>
  <si>
    <t>لومال الكسير جامبول غوتيه - رجالي</t>
  </si>
  <si>
    <t>0309-M</t>
  </si>
  <si>
    <t>لومال بورهوم - رجالي</t>
  </si>
  <si>
    <t>0310-M</t>
  </si>
  <si>
    <t>ليبر Y.S.L-نسائي</t>
  </si>
  <si>
    <t>0311-W</t>
  </si>
  <si>
    <t>ليدي مليون باكورابان - نسائي</t>
  </si>
  <si>
    <t>0313-W</t>
  </si>
  <si>
    <t xml:space="preserve">ليمون - للجنسين </t>
  </si>
  <si>
    <t>0315-U</t>
  </si>
  <si>
    <t>ماتري بريميير - للجنسين</t>
  </si>
  <si>
    <t>0316-U</t>
  </si>
  <si>
    <t>ماجيك الجزيرة -  للجنسين</t>
  </si>
  <si>
    <t>0317-U</t>
  </si>
  <si>
    <t>مارشميلو كيالي - نسائي</t>
  </si>
  <si>
    <t>0318-W</t>
  </si>
  <si>
    <t>ماليبو - مستودع</t>
  </si>
  <si>
    <t>0319-S</t>
  </si>
  <si>
    <t>ماي سيلف Y.S.L - رجالي</t>
  </si>
  <si>
    <t>0324-M</t>
  </si>
  <si>
    <t>مدام جامبول غوتيه - نسائي</t>
  </si>
  <si>
    <t>0326-W</t>
  </si>
  <si>
    <t>مس ديور  شيري كريستيان ديور - نسائي</t>
  </si>
  <si>
    <t>0328-W</t>
  </si>
  <si>
    <t>مس لافيرن - نسائي</t>
  </si>
  <si>
    <t>0329-W</t>
  </si>
  <si>
    <t>مستر بربري - رجالي</t>
  </si>
  <si>
    <t>0330-M</t>
  </si>
  <si>
    <t xml:space="preserve">مسك ابيض إبراهيم القرشي - للجنسين </t>
  </si>
  <si>
    <t>0331-U</t>
  </si>
  <si>
    <t xml:space="preserve">مسك باودر إبراهيم القرشي - للجنسين </t>
  </si>
  <si>
    <t>0333-U</t>
  </si>
  <si>
    <t xml:space="preserve">مسك توت إبراهيم القرشي - للجنسين </t>
  </si>
  <si>
    <t>0334-U</t>
  </si>
  <si>
    <t>مسك جوفان - للجنسين</t>
  </si>
  <si>
    <t>0335-U</t>
  </si>
  <si>
    <t xml:space="preserve">مسك طهارة إبراهيم القرشي - للجنسين </t>
  </si>
  <si>
    <t>0337-U</t>
  </si>
  <si>
    <t xml:space="preserve">مسك طهارة شفاف - مسك قرشي - للجنسين </t>
  </si>
  <si>
    <t>0338-U</t>
  </si>
  <si>
    <t xml:space="preserve">مسك فانيل إبراهيم القرشي - للجنسين </t>
  </si>
  <si>
    <t>0339-U</t>
  </si>
  <si>
    <t>ملبس - كارون - مسكلود -للجنسين</t>
  </si>
  <si>
    <t>0342-U</t>
  </si>
  <si>
    <t>مورزان ووردز اكس ارجوف - للجنسين</t>
  </si>
  <si>
    <t>0343-U</t>
  </si>
  <si>
    <t>مون باريس Y.S.L - نسائي</t>
  </si>
  <si>
    <t>0344-W</t>
  </si>
  <si>
    <t xml:space="preserve">مون سباركل سكادة - نسائي </t>
  </si>
  <si>
    <t>0345-W</t>
  </si>
  <si>
    <t>مونت بلانك ليجينت - رجاليي</t>
  </si>
  <si>
    <t>0346-M</t>
  </si>
  <si>
    <t>ميدنايت روز لانكوم - نسائي</t>
  </si>
  <si>
    <t>0348-W</t>
  </si>
  <si>
    <t>موست وانتد ازارو - رجالي</t>
  </si>
  <si>
    <t>0351-M</t>
  </si>
  <si>
    <t>ميغامار اورتو باريس - رجالي</t>
  </si>
  <si>
    <t>0352-M</t>
  </si>
  <si>
    <t>ناكسوس اكس ارجوف - للجنسين</t>
  </si>
  <si>
    <t>0353-U</t>
  </si>
  <si>
    <t>نوا كشريل - نسائي</t>
  </si>
  <si>
    <t>0355-W</t>
  </si>
  <si>
    <t>نوار اكستريم  توم فورد - رجالي</t>
  </si>
  <si>
    <t>0356-M</t>
  </si>
  <si>
    <t>نوتة عنبر - للجنسين</t>
  </si>
  <si>
    <t>0357-U</t>
  </si>
  <si>
    <t>نيفيا كريم - للجنسين</t>
  </si>
  <si>
    <t>0358-U</t>
  </si>
  <si>
    <t>نيود - نسائي</t>
  </si>
  <si>
    <t>0361-W</t>
  </si>
  <si>
    <t>هاشيفات نيشاني - رجالي</t>
  </si>
  <si>
    <t>0362-M</t>
  </si>
  <si>
    <t>هامول - للجنسين</t>
  </si>
  <si>
    <t>0363-U</t>
  </si>
  <si>
    <t>هوغو بوس - رجالي</t>
  </si>
  <si>
    <t>0366-M</t>
  </si>
  <si>
    <t>هوغو وومن - نسائي</t>
  </si>
  <si>
    <t>0367-W</t>
  </si>
  <si>
    <t>هوم انتنس كريستيان ديور - رجالي</t>
  </si>
  <si>
    <t>0368-M</t>
  </si>
  <si>
    <t>هيبنوتيك بوازون كريستيان ديور - نسائي</t>
  </si>
  <si>
    <t>0369-W</t>
  </si>
  <si>
    <t>هيدسون فاليه قصة - رجالي</t>
  </si>
  <si>
    <t>0371-M</t>
  </si>
  <si>
    <t>هيدن شولدرز- للجنسين</t>
  </si>
  <si>
    <t>0372-U</t>
  </si>
  <si>
    <t>وان اند اونلي قصة - للجنسين</t>
  </si>
  <si>
    <t>0374-U</t>
  </si>
  <si>
    <t>وصال - اجمل - للجنسين</t>
  </si>
  <si>
    <t>0377-U</t>
  </si>
  <si>
    <t>ون مليون لاكي باكورابان - رجالي</t>
  </si>
  <si>
    <t>0379-M</t>
  </si>
  <si>
    <t>ويك اند بربري - نسائي</t>
  </si>
  <si>
    <t>0381-W</t>
  </si>
  <si>
    <t>يس أيام كشريل - نسائي</t>
  </si>
  <si>
    <t>0382-W</t>
  </si>
  <si>
    <t>بلو تاليسمان من إكس نيهيلو - للجنسين</t>
  </si>
  <si>
    <t>0386-U</t>
  </si>
  <si>
    <t xml:space="preserve"> بلاي جيفينشي - نسائي</t>
  </si>
  <si>
    <t>0001-W</t>
  </si>
  <si>
    <t>40عقدة اكس ارجوف -رجالي</t>
  </si>
  <si>
    <t>0002-M</t>
  </si>
  <si>
    <t>اترنتي كالفين كلاين - رجالي</t>
  </si>
  <si>
    <t>0003-M</t>
  </si>
  <si>
    <t>ادفينشر دافيدوف - رجالي</t>
  </si>
  <si>
    <t>0005-M</t>
  </si>
  <si>
    <t>اديكت كريستيان ديور - نسائي</t>
  </si>
  <si>
    <t>0006-W</t>
  </si>
  <si>
    <t>اراميس 900 - رجالي</t>
  </si>
  <si>
    <t>0007-M</t>
  </si>
  <si>
    <t>ارزا ستبل جيفينشي - نسائي</t>
  </si>
  <si>
    <t>0010-W</t>
  </si>
  <si>
    <t>ازارو بورهوم - رجالي</t>
  </si>
  <si>
    <t>0012-M</t>
  </si>
  <si>
    <t>استي ديبون - رجالي</t>
  </si>
  <si>
    <t>0015-M</t>
  </si>
  <si>
    <t>استي ديبون سوبر - نسائي</t>
  </si>
  <si>
    <t>0016-W</t>
  </si>
  <si>
    <t>افترنون سويم L.V -للجنسين</t>
  </si>
  <si>
    <t>0019-U</t>
  </si>
  <si>
    <t>افينتوس كريد - رجالي</t>
  </si>
  <si>
    <t>0020-M</t>
  </si>
  <si>
    <t>اكس اس باكورابان - رجالي</t>
  </si>
  <si>
    <t>0021-M</t>
  </si>
  <si>
    <t>التراميل نومال جامبول غويته - رجالي</t>
  </si>
  <si>
    <t>0026-M</t>
  </si>
  <si>
    <t>المنت هوغو بوس - رجالي</t>
  </si>
  <si>
    <t>0029-M</t>
  </si>
  <si>
    <t>امريج جيفينشي - نسائي</t>
  </si>
  <si>
    <t>0033-W</t>
  </si>
  <si>
    <t>انسولانس غيرلان - نسائي</t>
  </si>
  <si>
    <t>0037-W</t>
  </si>
  <si>
    <t>انفكتوس باكورابان - رجالي</t>
  </si>
  <si>
    <t>0038-M</t>
  </si>
  <si>
    <t>انفكتوس فيكتوري باكورابان - رجالي</t>
  </si>
  <si>
    <t>0039-M</t>
  </si>
  <si>
    <t>انفي مي غوتشي - نسائي</t>
  </si>
  <si>
    <t>0040-W</t>
  </si>
  <si>
    <t>اوبن روجر  -  رجالي</t>
  </si>
  <si>
    <t>0043-M</t>
  </si>
  <si>
    <t>اورينت صاندل ابسولو غيرلان - للجنسين</t>
  </si>
  <si>
    <t>0045-U</t>
  </si>
  <si>
    <t>اولومبيا - باكورابان - نسائي</t>
  </si>
  <si>
    <t>0047-W</t>
  </si>
  <si>
    <t>اونلي ذا ون دولتشي اند غابانا - نسائي</t>
  </si>
  <si>
    <t>0048-W</t>
  </si>
  <si>
    <t>ايروس فرزاتشي - رجالي</t>
  </si>
  <si>
    <t>0051-M</t>
  </si>
  <si>
    <t>ايفوريا كالفين كلاين - رجالي</t>
  </si>
  <si>
    <t>0052-M</t>
  </si>
  <si>
    <t>ايفوريا كالفين كلاين - نسائي</t>
  </si>
  <si>
    <t>0053-W</t>
  </si>
  <si>
    <t>ايكو دافيدوف - رجالي</t>
  </si>
  <si>
    <t>0054-M</t>
  </si>
  <si>
    <t>ايكو دافيدوف -كراش فيكتوريا سيكرت - نسائي</t>
  </si>
  <si>
    <t>0055-W</t>
  </si>
  <si>
    <t xml:space="preserve">ايكون ابسوليت دينهل - بنتلي ابسولو - ابسولو - للجنسين </t>
  </si>
  <si>
    <t>0056-U</t>
  </si>
  <si>
    <t>ايل Y.S.L -نسائي</t>
  </si>
  <si>
    <t>0057-W</t>
  </si>
  <si>
    <t>ايليسيوم روجا دوف -رجالي</t>
  </si>
  <si>
    <t>0059-M</t>
  </si>
  <si>
    <t>ايلين تيري منغلير - نسائي</t>
  </si>
  <si>
    <t>0060-W</t>
  </si>
  <si>
    <t>باتشولي انتنس نيكولاي كارتيه - رجالي</t>
  </si>
  <si>
    <t>0062-M</t>
  </si>
  <si>
    <t>باد ديزل - رجالي</t>
  </si>
  <si>
    <t>0064-M</t>
  </si>
  <si>
    <t>باريس Y.S.L - نسائي</t>
  </si>
  <si>
    <t>0067-W</t>
  </si>
  <si>
    <t>باريس هيلتون - رجالي</t>
  </si>
  <si>
    <t>0068-M</t>
  </si>
  <si>
    <t>باريس هيلتون - نسائي</t>
  </si>
  <si>
    <t>0069-W</t>
  </si>
  <si>
    <t>باسفك تشيل L.V  - للجنسين</t>
  </si>
  <si>
    <t>0070-U</t>
  </si>
  <si>
    <t>باكورابان بور هوم - رجالي</t>
  </si>
  <si>
    <t>0072-M</t>
  </si>
  <si>
    <t>بامبو غوتشي - نسائي</t>
  </si>
  <si>
    <t>0073-W</t>
  </si>
  <si>
    <t>برادا بارادوكس - نسائي</t>
  </si>
  <si>
    <t>0075-W</t>
  </si>
  <si>
    <t>برادا لوم - رجالي</t>
  </si>
  <si>
    <t>0076-M</t>
  </si>
  <si>
    <t>برايت كريستال فرزاتشي - نسائيي</t>
  </si>
  <si>
    <t>0077-W</t>
  </si>
  <si>
    <t>بربري هيرو - رجالي</t>
  </si>
  <si>
    <t>0080-M</t>
  </si>
  <si>
    <t>بربريس - نسائي</t>
  </si>
  <si>
    <t>0081-W</t>
  </si>
  <si>
    <t>برنس - مسحوق غسيل - رجالي</t>
  </si>
  <si>
    <t>0082-M</t>
  </si>
  <si>
    <t>بلاك اكس اس باكورابان - رجالي</t>
  </si>
  <si>
    <t>0087-M</t>
  </si>
  <si>
    <t>بلاك اكس اس باكورابان - نسائي</t>
  </si>
  <si>
    <t>0088-W</t>
  </si>
  <si>
    <t>بلاك اكس اس بوشن باكورابان - للجنسين</t>
  </si>
  <si>
    <t>0089-U</t>
  </si>
  <si>
    <t>بلاك اكس اس ليكزس باكورابان - رجالي</t>
  </si>
  <si>
    <t>0090-M</t>
  </si>
  <si>
    <t xml:space="preserve">بلاك اوركيد توم فورد - للجنسين </t>
  </si>
  <si>
    <t>0092-U</t>
  </si>
  <si>
    <t>بلاك كود -جورجيو ارماني - رجالي</t>
  </si>
  <si>
    <t>0093-M</t>
  </si>
  <si>
    <t>بلاك كود بورفومو - رجالي</t>
  </si>
  <si>
    <t>0094-M</t>
  </si>
  <si>
    <t>بلو جينز فرزاتشي - رجالي</t>
  </si>
  <si>
    <t>0095-M</t>
  </si>
  <si>
    <t>بلو دي شانيل -رجالي</t>
  </si>
  <si>
    <t>0096-M</t>
  </si>
  <si>
    <t>بلو فور مان رصاصي - رجاليي</t>
  </si>
  <si>
    <t>0097-M</t>
  </si>
  <si>
    <t>بلوم غوتشي - نسائي</t>
  </si>
  <si>
    <t>0098-W</t>
  </si>
  <si>
    <t>بوازون - كوبرا - نسائي</t>
  </si>
  <si>
    <t>0101-W</t>
  </si>
  <si>
    <t>بوازون غيرل كريستيان ديور -نسائي</t>
  </si>
  <si>
    <t>0102-W</t>
  </si>
  <si>
    <t>بوس  بتلد  نايت - رجالي</t>
  </si>
  <si>
    <t>0105-M</t>
  </si>
  <si>
    <t>بوس انموشن - رجالي</t>
  </si>
  <si>
    <t>0106-M</t>
  </si>
  <si>
    <t>بولغاري بلو - رويال بلو - رجالي</t>
  </si>
  <si>
    <t>0107-M</t>
  </si>
  <si>
    <t>بولغاري مان -رجالي</t>
  </si>
  <si>
    <t>0108-M</t>
  </si>
  <si>
    <t>بولو بلاك - رجالي</t>
  </si>
  <si>
    <t>0109-M</t>
  </si>
  <si>
    <t>بونسوار - نسائي</t>
  </si>
  <si>
    <t>0112-W</t>
  </si>
  <si>
    <t>بي جيفينشي - رجالي</t>
  </si>
  <si>
    <t>0113-M</t>
  </si>
  <si>
    <t>بي ديليشيز ديكني - نسائي</t>
  </si>
  <si>
    <t>0114-W</t>
  </si>
  <si>
    <t>بيغاسوس بارفام ديمارلي - رجالي</t>
  </si>
  <si>
    <t>0115-M</t>
  </si>
  <si>
    <t>بينك شوغر - انا والشوق - نسائي</t>
  </si>
  <si>
    <t>0117-W</t>
  </si>
  <si>
    <t>بيور نايت اكس اس باكورابان - رجالي</t>
  </si>
  <si>
    <t>0120-M</t>
  </si>
  <si>
    <t>تايغر بولغاري - رجالي</t>
  </si>
  <si>
    <t>0123-M</t>
  </si>
  <si>
    <t>تروبيكال - نسائي</t>
  </si>
  <si>
    <t>0124-W</t>
  </si>
  <si>
    <t>تريزور لانكوم - نسائي</t>
  </si>
  <si>
    <t>0125-W</t>
  </si>
  <si>
    <t>تشامبيون دافيدوف - رجالي</t>
  </si>
  <si>
    <t>0127-M</t>
  </si>
  <si>
    <t>توباكو كولور كريستيان ديور - للجنسين</t>
  </si>
  <si>
    <t>0130-U</t>
  </si>
  <si>
    <t>توكسيدو Y.S.L -رجالي</t>
  </si>
  <si>
    <t>0132-M</t>
  </si>
  <si>
    <t xml:space="preserve">توماس كوسمالا 4 - للجنسين </t>
  </si>
  <si>
    <t>0133-U</t>
  </si>
  <si>
    <t>توين ازارو - نسائي</t>
  </si>
  <si>
    <t>0134-W</t>
  </si>
  <si>
    <t>تيروني اورتو باريس - للجنسين</t>
  </si>
  <si>
    <t>0135-U</t>
  </si>
  <si>
    <t>تيري دي هرمز - رجالي</t>
  </si>
  <si>
    <t>0136-M</t>
  </si>
  <si>
    <t>جابرييل شانيل - نسائي</t>
  </si>
  <si>
    <t>0137-W</t>
  </si>
  <si>
    <t>جامب جوب - رجالي</t>
  </si>
  <si>
    <t>0140-M</t>
  </si>
  <si>
    <t>جونسون - للجنسين</t>
  </si>
  <si>
    <t>0143-U</t>
  </si>
  <si>
    <t>جوي كريستيان ديور - نسائي</t>
  </si>
  <si>
    <t>0145-W</t>
  </si>
  <si>
    <t>جي القديمة - نسائيي</t>
  </si>
  <si>
    <t>0146-W</t>
  </si>
  <si>
    <t>جيفينشي بور اوم  الأحمر - رجالي</t>
  </si>
  <si>
    <t>0148-M</t>
  </si>
  <si>
    <t>جيمس بوند 007 - رجالي</t>
  </si>
  <si>
    <t>0149-M</t>
  </si>
  <si>
    <t>جينتل مان جيفينشي - رجالي</t>
  </si>
  <si>
    <t>0150-M</t>
  </si>
  <si>
    <t>جيو بروفوم جورجييو ارماني - رجالي</t>
  </si>
  <si>
    <t>0151-M</t>
  </si>
  <si>
    <t>حريم السلطان - وصال الدهبي - للجنسين</t>
  </si>
  <si>
    <t>0152-U</t>
  </si>
  <si>
    <t>دراق - رجالي</t>
  </si>
  <si>
    <t>0155-M</t>
  </si>
  <si>
    <t>دكلريشن دي كارتير - رجالي</t>
  </si>
  <si>
    <t>0156-M</t>
  </si>
  <si>
    <t>دولتشي اند غابانا بورهوم -رجالي</t>
  </si>
  <si>
    <t>0158-M</t>
  </si>
  <si>
    <t>ذا سينت هوغو بوس - رجالي</t>
  </si>
  <si>
    <t>0161-M</t>
  </si>
  <si>
    <t>ذا سينت هوغو بوس - نسائي</t>
  </si>
  <si>
    <t>0162-W</t>
  </si>
  <si>
    <t>ذا ون دولتشي اند غابانا - رجالي</t>
  </si>
  <si>
    <t>0164-M</t>
  </si>
  <si>
    <t>ذا ون دولتشي اند غابانا - نسائي</t>
  </si>
  <si>
    <t>0165-W</t>
  </si>
  <si>
    <t xml:space="preserve">زهرة الفل - للجنسين </t>
  </si>
  <si>
    <t>0168-U</t>
  </si>
  <si>
    <t>روبيرتو كافالي - نسائي</t>
  </si>
  <si>
    <t>0169-W</t>
  </si>
  <si>
    <t>روشاز مان - رجالي</t>
  </si>
  <si>
    <t>0173-M</t>
  </si>
  <si>
    <t>ريتشي ريتشي - نسائي</t>
  </si>
  <si>
    <t>0176-W</t>
  </si>
  <si>
    <t xml:space="preserve">ريد توباكو مانسيرا - للجنسين </t>
  </si>
  <si>
    <t>0177-U</t>
  </si>
  <si>
    <t>ريد جينز فيرساتشي - نسائي</t>
  </si>
  <si>
    <t>0178-W</t>
  </si>
  <si>
    <t>ريد لاكوست - روج لاكوست - رجالي</t>
  </si>
  <si>
    <t>0179-M</t>
  </si>
  <si>
    <t>زهرة الزنبق - للجنسين</t>
  </si>
  <si>
    <t>0182-U</t>
  </si>
  <si>
    <t>زهرة الزيزفون - للجنسين</t>
  </si>
  <si>
    <t>0183-U</t>
  </si>
  <si>
    <t xml:space="preserve">زهرة الياسمين - للجنسين </t>
  </si>
  <si>
    <t>0184-U</t>
  </si>
  <si>
    <t>سبيشلي سكادة - نسائي</t>
  </si>
  <si>
    <t>0188-W</t>
  </si>
  <si>
    <t>سترونغ مي باكورابان - رجالي</t>
  </si>
  <si>
    <t>0190-M</t>
  </si>
  <si>
    <t>سترونغر وذ يو انتنسلي امبريو ارماني - رجالي</t>
  </si>
  <si>
    <t>0191-M</t>
  </si>
  <si>
    <t>سكيب - رجالي</t>
  </si>
  <si>
    <t>0196-M</t>
  </si>
  <si>
    <t>سكيب - نسائي</t>
  </si>
  <si>
    <t>0197-W</t>
  </si>
  <si>
    <t>سمسارة غيرلان - نسائي</t>
  </si>
  <si>
    <t>0199-W</t>
  </si>
  <si>
    <t>سي اتش كارولينا هيريرا - رجالي</t>
  </si>
  <si>
    <t>0204-M</t>
  </si>
  <si>
    <t>سي اتش كارولينا هيريرا - نسائي</t>
  </si>
  <si>
    <t>0205-W</t>
  </si>
  <si>
    <t>سي باشن جورجيو ارماني - نسائي</t>
  </si>
  <si>
    <t>0206-W</t>
  </si>
  <si>
    <t>سيداكتيف جيس - نسائي</t>
  </si>
  <si>
    <t>0209-W</t>
  </si>
  <si>
    <t>سيكار  كوبا - رجالي</t>
  </si>
  <si>
    <t>0210-M</t>
  </si>
  <si>
    <t>سيكسي 212 كارولينا هيريرا - نسائي</t>
  </si>
  <si>
    <t>0212-W</t>
  </si>
  <si>
    <t>سيكسي كرافيتي سكادة - نسائي</t>
  </si>
  <si>
    <t>0213-W</t>
  </si>
  <si>
    <t>سيلفر سينت بوجارد - رجالي</t>
  </si>
  <si>
    <t>0215-M</t>
  </si>
  <si>
    <t>سيلفر شادو دافيدوف - رجالي</t>
  </si>
  <si>
    <t>0216-M</t>
  </si>
  <si>
    <t>شانيل 19 - نسائي</t>
  </si>
  <si>
    <t>0220-W</t>
  </si>
  <si>
    <t>شانيل 5 - نسائي</t>
  </si>
  <si>
    <t>0221-W</t>
  </si>
  <si>
    <t>شمام - للجنسين</t>
  </si>
  <si>
    <t>0222-U</t>
  </si>
  <si>
    <t>شمس الامارات لطافة - للجنسين</t>
  </si>
  <si>
    <t>0223-U</t>
  </si>
  <si>
    <t xml:space="preserve">شهرة رصاصي -للجنسين </t>
  </si>
  <si>
    <t>0224-U</t>
  </si>
  <si>
    <t>عنبر نوماد L.V - للجنسين</t>
  </si>
  <si>
    <t>0227-U</t>
  </si>
  <si>
    <t>عود السلطان ارض الزعفرران -  للجنسين</t>
  </si>
  <si>
    <t>0230-U</t>
  </si>
  <si>
    <t>عود أصفهان كريستيان ديور - للجنسين</t>
  </si>
  <si>
    <t>0231-U</t>
  </si>
  <si>
    <t>عود بوكيه لانكوم - للجنسين</t>
  </si>
  <si>
    <t>0232-U</t>
  </si>
  <si>
    <t xml:space="preserve">عود كاشمير - للجنسين </t>
  </si>
  <si>
    <t>0235-U</t>
  </si>
  <si>
    <t>عود كمبودي الرحاب - للجنسين</t>
  </si>
  <si>
    <t>0236-U</t>
  </si>
  <si>
    <t>عود ملكي - تشوبارد - للجنسين</t>
  </si>
  <si>
    <t>0238-U</t>
  </si>
  <si>
    <t>عود هندي - الرحاب - للجنسين</t>
  </si>
  <si>
    <t>0239-U</t>
  </si>
  <si>
    <t>عود وود توم فورد - للجنسين</t>
  </si>
  <si>
    <t>0240-U</t>
  </si>
  <si>
    <t>غوتشي باي غوتشي - رجالي</t>
  </si>
  <si>
    <t>0241-M</t>
  </si>
  <si>
    <t>غوتشي باي غوتشي - نسائي</t>
  </si>
  <si>
    <t>0242-W</t>
  </si>
  <si>
    <t>غيلتي بورفام غوتشي - نسائي</t>
  </si>
  <si>
    <t>0245-W</t>
  </si>
  <si>
    <t>فانتوم باكورابان - رجاليي</t>
  </si>
  <si>
    <t>0248-M</t>
  </si>
  <si>
    <t>فاير بلاس ريبليكا - رجالي</t>
  </si>
  <si>
    <t>0249-M</t>
  </si>
  <si>
    <t>فريش دينهل - رجالي</t>
  </si>
  <si>
    <t>0250-M</t>
  </si>
  <si>
    <t>فلانتينو بورن ان روما - رجالي</t>
  </si>
  <si>
    <t>0251-M</t>
  </si>
  <si>
    <t>فلفت روز جومالون - للجنسين</t>
  </si>
  <si>
    <t>0254-U</t>
  </si>
  <si>
    <t>فلور كينزو - نسائي</t>
  </si>
  <si>
    <t>0255-W</t>
  </si>
  <si>
    <t>فلورا غوتشي - نسائي</t>
  </si>
  <si>
    <t>0258-W</t>
  </si>
  <si>
    <t>فويس اوف ذا سنيك غوتشي للجنسين</t>
  </si>
  <si>
    <t>0263-U</t>
  </si>
  <si>
    <t>في أي بي بلاك 212كارولينا هيريرا - رجالي</t>
  </si>
  <si>
    <t>0266-M</t>
  </si>
  <si>
    <t>في فا في توسكا - نسائي</t>
  </si>
  <si>
    <t>0267-W</t>
  </si>
  <si>
    <t>فيرت ملاكيت - ارماني برايف - للجنسين</t>
  </si>
  <si>
    <t>0268-U</t>
  </si>
  <si>
    <t>كابوتين - ماغانوليا - نسائي</t>
  </si>
  <si>
    <t>0269-W</t>
  </si>
  <si>
    <t>كريستال نوار فرزاتشي - نسائي</t>
  </si>
  <si>
    <t>0272-W</t>
  </si>
  <si>
    <t>كوروس Y.S.L -رجالي</t>
  </si>
  <si>
    <t>0275-M</t>
  </si>
  <si>
    <t>كوكو شانيل - مادموزيل - نسائي</t>
  </si>
  <si>
    <t>0276-W</t>
  </si>
  <si>
    <t>كول ووتر دافيدوف -نسائي</t>
  </si>
  <si>
    <t>0279-W</t>
  </si>
  <si>
    <t xml:space="preserve">كيلدا - للجنسين </t>
  </si>
  <si>
    <t>0281-U</t>
  </si>
  <si>
    <t>كينغ ليذر - ايرش ليذر ميمو - للجنسين</t>
  </si>
  <si>
    <t>0284-U</t>
  </si>
  <si>
    <t>لابيل جامبول غوتيه -  نسائي</t>
  </si>
  <si>
    <t>0287-W</t>
  </si>
  <si>
    <t>لاست شانص - للجنسين</t>
  </si>
  <si>
    <t>0288-U</t>
  </si>
  <si>
    <t>لاف ستوري كلويه - نسائي</t>
  </si>
  <si>
    <t>0289-W</t>
  </si>
  <si>
    <t>لافيبل لانكوم - نسائي</t>
  </si>
  <si>
    <t>0290-W</t>
  </si>
  <si>
    <t>لاكشري اربيك الرحاب - للجنسين</t>
  </si>
  <si>
    <t>0291-U</t>
  </si>
  <si>
    <t>لاكشري دارك - مستودع</t>
  </si>
  <si>
    <t>0292-S</t>
  </si>
  <si>
    <t>لانوي تريزور لانكوم - نسائي</t>
  </si>
  <si>
    <t>0295-W</t>
  </si>
  <si>
    <t>لايت بلو بورفام دولتشي غابانا - نسائي</t>
  </si>
  <si>
    <t>0297-W</t>
  </si>
  <si>
    <t>لايتون بارفام ديمارلي - رجالي</t>
  </si>
  <si>
    <t>0300-M</t>
  </si>
  <si>
    <t>لندن دينهل - رجالي</t>
  </si>
  <si>
    <t>0302-M</t>
  </si>
  <si>
    <t xml:space="preserve">لوست شيري - توم فورد - للجنسين </t>
  </si>
  <si>
    <t>0305-U</t>
  </si>
  <si>
    <t>لوليتا لامببيكا -  نسائي</t>
  </si>
  <si>
    <t>0308-W</t>
  </si>
  <si>
    <t>ليدي روز لافيرن -  نسائي</t>
  </si>
  <si>
    <t>0312-W</t>
  </si>
  <si>
    <t>ليمو سيتي L.V - رجالي</t>
  </si>
  <si>
    <t>0314-M</t>
  </si>
  <si>
    <t>ماليزيا اخضر - دينهل القديم - رجالي</t>
  </si>
  <si>
    <t>0320-M</t>
  </si>
  <si>
    <t>مان212 كارولينا هيريرا - رجالي</t>
  </si>
  <si>
    <t>0321-M</t>
  </si>
  <si>
    <t>مانفستو Y.S.L -نسائي</t>
  </si>
  <si>
    <t>0322-W</t>
  </si>
  <si>
    <t>ماي بربري - نسائي</t>
  </si>
  <si>
    <t>0323-W</t>
  </si>
  <si>
    <t>ماي واي جورجيو ارماني - نسائي</t>
  </si>
  <si>
    <t>0325-W</t>
  </si>
  <si>
    <t>مدام روشه - نسائي</t>
  </si>
  <si>
    <t>0327-W</t>
  </si>
  <si>
    <t xml:space="preserve">مسك اسود الرحاب - للجنسين </t>
  </si>
  <si>
    <t>0332-U</t>
  </si>
  <si>
    <t>مسك رمان إبراهيم قرشي -للجنسين</t>
  </si>
  <si>
    <t>0336-U</t>
  </si>
  <si>
    <t xml:space="preserve">مسك كاشمير العربية العود - للجنسين </t>
  </si>
  <si>
    <t>0340-U</t>
  </si>
  <si>
    <t>مغنتزم سكادة - نسائي</t>
  </si>
  <si>
    <t>0341-W</t>
  </si>
  <si>
    <t>مونتانا - نسائي</t>
  </si>
  <si>
    <t>0347-W</t>
  </si>
  <si>
    <t>ميراكل بورفام لانكوم - نسائي</t>
  </si>
  <si>
    <t>0349-W</t>
  </si>
  <si>
    <t>ميري مي لانفين - نسائي</t>
  </si>
  <si>
    <t>0350-W</t>
  </si>
  <si>
    <t>نايت فلايت جوب - رجالي</t>
  </si>
  <si>
    <t>0354-M</t>
  </si>
  <si>
    <t>نينا ريتشي - نسائي</t>
  </si>
  <si>
    <t>0359-W</t>
  </si>
  <si>
    <t>نينا شيروتي 1881 - نسائي</t>
  </si>
  <si>
    <t>0360-W</t>
  </si>
  <si>
    <t xml:space="preserve">هاواي - كاشمير - للجنسين </t>
  </si>
  <si>
    <t>0364-U</t>
  </si>
  <si>
    <t>هوت كوتور جيفينشي - نسائي</t>
  </si>
  <si>
    <t>0365-W</t>
  </si>
  <si>
    <t>هيبنوس لانكوم - نسائي</t>
  </si>
  <si>
    <t>0370-W</t>
  </si>
  <si>
    <t>هيروز 212 كارولينا هيريرا - رجالي</t>
  </si>
  <si>
    <t>0373-M</t>
  </si>
  <si>
    <t>واي Y.S.L - رجالي</t>
  </si>
  <si>
    <t>0375-M</t>
  </si>
  <si>
    <t xml:space="preserve">ورد جوري - للجنسين </t>
  </si>
  <si>
    <t>0376-U</t>
  </si>
  <si>
    <t>ون مان شو - رجالي</t>
  </si>
  <si>
    <t>0378-M</t>
  </si>
  <si>
    <t>ون مليون باكورابان - رجالي</t>
  </si>
  <si>
    <t>0380-M</t>
  </si>
  <si>
    <t>تانغو قصة - غاد اوف فاير - للجنسين</t>
  </si>
  <si>
    <t>0383-U</t>
  </si>
  <si>
    <t>عنبر رومانس فيكتوريا سكرت - نسائي</t>
  </si>
  <si>
    <t>0384-W</t>
  </si>
  <si>
    <t>أمباسادور من جيسادا - رجالي</t>
  </si>
  <si>
    <t>0385-M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</si>
</sst>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78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606;&#1592;&#1575;&#1605;_&#1573;&#1583;&#1575;&#1585;&#1577;_&#1605;&#1582;&#1586;&#1608;&#1606;_&#1575;&#1604;&#1586;&#1610;&#1608;&#1578;_&#1575;&#1604;&#1606;&#1607;&#1575;&#1574;&#161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عمليات"/>
      <sheetName val="المخزون الرئيسي"/>
    </sheetNames>
    <sheetDataSet>
      <sheetData sheetId="0">
        <row r="1">
          <cell r="B1" t="str">
            <v>اسم الزيت</v>
          </cell>
          <cell r="C1" t="str">
            <v>نوع العملية</v>
          </cell>
          <cell r="G1" t="str">
            <v>الوزن الصافي (غ)</v>
          </cell>
        </row>
        <row r="2">
          <cell r="B2" t="str">
            <v>ون مليون لاكي باكورابان - رجالي</v>
          </cell>
          <cell r="C2" t="str">
            <v>إدخال</v>
          </cell>
          <cell r="G2">
            <v>1003</v>
          </cell>
          <cell r="H2">
            <v>1</v>
          </cell>
          <cell r="I2">
            <v>1</v>
          </cell>
        </row>
        <row r="3">
          <cell r="B3" t="str">
            <v>ون مليون لاكي باكورابان - رجالي</v>
          </cell>
          <cell r="C3" t="str">
            <v>إدخال</v>
          </cell>
          <cell r="G3">
            <v>253</v>
          </cell>
          <cell r="H3">
            <v>1</v>
          </cell>
          <cell r="I3">
            <v>1</v>
          </cell>
        </row>
        <row r="4">
          <cell r="B4" t="str">
            <v>بريميير - همر - رجالي</v>
          </cell>
          <cell r="C4" t="str">
            <v>إدخال</v>
          </cell>
          <cell r="G4">
            <v>1000</v>
          </cell>
          <cell r="H4">
            <v>1</v>
          </cell>
          <cell r="I4">
            <v>1</v>
          </cell>
        </row>
        <row r="5">
          <cell r="B5" t="str">
            <v>بريميير - همر - رجالي</v>
          </cell>
          <cell r="C5" t="str">
            <v>إدخال</v>
          </cell>
          <cell r="G5">
            <v>1000</v>
          </cell>
          <cell r="H5">
            <v>1</v>
          </cell>
          <cell r="I5">
            <v>1</v>
          </cell>
        </row>
        <row r="6">
          <cell r="B6" t="str">
            <v>ون مليون لاكي باكورابان - رجالي</v>
          </cell>
          <cell r="C6" t="str">
            <v>إدخال</v>
          </cell>
          <cell r="G6">
            <v>1000</v>
          </cell>
          <cell r="H6">
            <v>1</v>
          </cell>
          <cell r="I6">
            <v>1</v>
          </cell>
        </row>
        <row r="7">
          <cell r="B7" t="str">
            <v>ذا غيم دافيدوف - رجالي</v>
          </cell>
          <cell r="C7" t="str">
            <v>إدخال</v>
          </cell>
          <cell r="G7">
            <v>1000</v>
          </cell>
          <cell r="H7">
            <v>1</v>
          </cell>
          <cell r="I7">
            <v>2</v>
          </cell>
        </row>
        <row r="8">
          <cell r="B8" t="str">
            <v>ذا غيم دافيدوف - رجالي</v>
          </cell>
          <cell r="C8" t="str">
            <v>إدخال</v>
          </cell>
          <cell r="G8">
            <v>1000</v>
          </cell>
          <cell r="H8">
            <v>1</v>
          </cell>
          <cell r="I8">
            <v>2</v>
          </cell>
        </row>
        <row r="9">
          <cell r="B9" t="str">
            <v>ذا غيم دافيدوف - رجالي</v>
          </cell>
          <cell r="C9" t="str">
            <v>إدخال</v>
          </cell>
          <cell r="G9">
            <v>757</v>
          </cell>
          <cell r="H9">
            <v>1</v>
          </cell>
          <cell r="I9">
            <v>2</v>
          </cell>
        </row>
        <row r="10">
          <cell r="B10" t="str">
            <v>هيدسون فاليه قصة - رجالي</v>
          </cell>
          <cell r="C10" t="str">
            <v>إدخال</v>
          </cell>
          <cell r="G10">
            <v>1054</v>
          </cell>
          <cell r="H10">
            <v>1</v>
          </cell>
          <cell r="I10">
            <v>2</v>
          </cell>
        </row>
        <row r="11">
          <cell r="B11" t="str">
            <v>عود مضاوي العربية للعود - للجنسين</v>
          </cell>
          <cell r="C11" t="str">
            <v>إدخال</v>
          </cell>
          <cell r="G11">
            <v>618</v>
          </cell>
          <cell r="H11">
            <v>1</v>
          </cell>
          <cell r="I11">
            <v>2</v>
          </cell>
        </row>
        <row r="12">
          <cell r="B12" t="str">
            <v>لاهوم ايفسان لوران Y.S.L -رجالي</v>
          </cell>
          <cell r="C12" t="str">
            <v>إدخال</v>
          </cell>
          <cell r="G12">
            <v>717</v>
          </cell>
          <cell r="H12">
            <v>1</v>
          </cell>
          <cell r="I12">
            <v>3</v>
          </cell>
        </row>
        <row r="13">
          <cell r="B13" t="str">
            <v>انرجايس هوغو - رجالي</v>
          </cell>
          <cell r="C13" t="str">
            <v>إدخال</v>
          </cell>
          <cell r="G13">
            <v>614</v>
          </cell>
          <cell r="H13">
            <v>1</v>
          </cell>
          <cell r="I13">
            <v>3</v>
          </cell>
        </row>
        <row r="14">
          <cell r="B14" t="str">
            <v>انرجايس هوغو - رجالي</v>
          </cell>
          <cell r="C14" t="str">
            <v>إدخال</v>
          </cell>
          <cell r="G14">
            <v>856</v>
          </cell>
          <cell r="H14">
            <v>1</v>
          </cell>
          <cell r="I14">
            <v>3</v>
          </cell>
        </row>
        <row r="15">
          <cell r="B15" t="str">
            <v>الثائر بارفان دي مارلي - رجالي</v>
          </cell>
          <cell r="C15" t="str">
            <v>إدخال</v>
          </cell>
          <cell r="G15">
            <v>634</v>
          </cell>
          <cell r="H15">
            <v>1</v>
          </cell>
          <cell r="I15">
            <v>3</v>
          </cell>
        </row>
        <row r="16">
          <cell r="B16" t="str">
            <v>جاكومو كازا نوفا - رجالي</v>
          </cell>
          <cell r="C16" t="str">
            <v>إدخال</v>
          </cell>
          <cell r="G16">
            <v>609</v>
          </cell>
          <cell r="H16">
            <v>1</v>
          </cell>
          <cell r="I16">
            <v>3</v>
          </cell>
        </row>
        <row r="17">
          <cell r="B17" t="str">
            <v>اربيان تونكا مونتال - للجنسين</v>
          </cell>
          <cell r="C17" t="str">
            <v>إدخال</v>
          </cell>
          <cell r="G17">
            <v>374</v>
          </cell>
          <cell r="H17">
            <v>1</v>
          </cell>
          <cell r="I17">
            <v>4</v>
          </cell>
        </row>
        <row r="18">
          <cell r="B18" t="str">
            <v>ماجيك الجزيرة -  للجنسين</v>
          </cell>
          <cell r="C18" t="str">
            <v>إدخال</v>
          </cell>
          <cell r="G18">
            <v>477</v>
          </cell>
          <cell r="H18">
            <v>1</v>
          </cell>
          <cell r="I18">
            <v>4</v>
          </cell>
        </row>
        <row r="19">
          <cell r="B19" t="str">
            <v>امبري لذر توم فورد - رجالي</v>
          </cell>
          <cell r="C19" t="str">
            <v>إدخال</v>
          </cell>
          <cell r="G19">
            <v>704</v>
          </cell>
          <cell r="H19">
            <v>1</v>
          </cell>
          <cell r="I19">
            <v>4</v>
          </cell>
        </row>
        <row r="20">
          <cell r="B20" t="str">
            <v>سوفاج الكسير كريستيان ديور - رجالي</v>
          </cell>
          <cell r="C20" t="str">
            <v>إدخال</v>
          </cell>
          <cell r="G20">
            <v>458</v>
          </cell>
          <cell r="H20">
            <v>1</v>
          </cell>
          <cell r="I20">
            <v>4</v>
          </cell>
        </row>
        <row r="21">
          <cell r="B21" t="str">
            <v xml:space="preserve">بوا امبريال اسينشيال - للجنسين </v>
          </cell>
          <cell r="C21" t="str">
            <v>إدخال</v>
          </cell>
          <cell r="G21">
            <v>602</v>
          </cell>
          <cell r="H21">
            <v>1</v>
          </cell>
          <cell r="I21">
            <v>4</v>
          </cell>
        </row>
        <row r="22">
          <cell r="B22" t="str">
            <v>سكاندل بايي نايت جامبول غوتيه -رجالي</v>
          </cell>
          <cell r="C22" t="str">
            <v>إدخال</v>
          </cell>
          <cell r="G22">
            <v>213</v>
          </cell>
          <cell r="H22">
            <v>1</v>
          </cell>
          <cell r="I22">
            <v>5</v>
          </cell>
        </row>
        <row r="23">
          <cell r="B23" t="str">
            <v>ديزاير دينهيل - رجالي</v>
          </cell>
          <cell r="C23" t="str">
            <v>إدخال</v>
          </cell>
          <cell r="G23">
            <v>912</v>
          </cell>
          <cell r="H23">
            <v>1</v>
          </cell>
          <cell r="I23">
            <v>5</v>
          </cell>
        </row>
        <row r="24">
          <cell r="B24" t="str">
            <v>عنبر عود اجمل - للجنسين</v>
          </cell>
          <cell r="C24" t="str">
            <v>إدخال</v>
          </cell>
          <cell r="G24">
            <v>616</v>
          </cell>
          <cell r="H24">
            <v>1</v>
          </cell>
          <cell r="I24">
            <v>5</v>
          </cell>
        </row>
        <row r="25">
          <cell r="B25" t="str">
            <v>هوغو بوس - رجالي</v>
          </cell>
          <cell r="C25" t="str">
            <v>إدخال</v>
          </cell>
          <cell r="G25">
            <v>603</v>
          </cell>
          <cell r="H25">
            <v>1</v>
          </cell>
          <cell r="I25">
            <v>5</v>
          </cell>
        </row>
        <row r="26">
          <cell r="B26" t="str">
            <v xml:space="preserve">توباكو فانيل توم فورد - للجنسين </v>
          </cell>
          <cell r="C26" t="str">
            <v>إدخال</v>
          </cell>
          <cell r="G26">
            <v>608</v>
          </cell>
          <cell r="H26">
            <v>1</v>
          </cell>
          <cell r="I26">
            <v>5</v>
          </cell>
        </row>
        <row r="27">
          <cell r="B27" t="str">
            <v>اسنترك ماليكولاس 002 -للجنسين</v>
          </cell>
          <cell r="C27" t="str">
            <v>إدخال</v>
          </cell>
          <cell r="G27">
            <v>361</v>
          </cell>
          <cell r="H27">
            <v>1</v>
          </cell>
          <cell r="I27">
            <v>6</v>
          </cell>
        </row>
        <row r="28">
          <cell r="B28" t="str">
            <v>كينغ غولتشيي اند غابانا - K- رجالي</v>
          </cell>
          <cell r="C28" t="str">
            <v>إدخال</v>
          </cell>
          <cell r="G28">
            <v>618</v>
          </cell>
          <cell r="H28">
            <v>1</v>
          </cell>
          <cell r="I28">
            <v>6</v>
          </cell>
        </row>
        <row r="29">
          <cell r="B29" t="str">
            <v>ازارو  كروم ليجينت  - رجالي</v>
          </cell>
          <cell r="C29" t="str">
            <v>إدخال</v>
          </cell>
          <cell r="G29">
            <v>1229</v>
          </cell>
          <cell r="H29">
            <v>1</v>
          </cell>
          <cell r="I29">
            <v>6</v>
          </cell>
        </row>
        <row r="30">
          <cell r="B30" t="str">
            <v>لالونا - عود ماركوجا - للجنسين</v>
          </cell>
          <cell r="C30" t="str">
            <v>إدخال</v>
          </cell>
          <cell r="G30">
            <v>811</v>
          </cell>
          <cell r="H30">
            <v>1</v>
          </cell>
          <cell r="I30">
            <v>6</v>
          </cell>
        </row>
        <row r="31">
          <cell r="B31" t="str">
            <v>ميغامار اورتو باريس - رجالي</v>
          </cell>
          <cell r="C31" t="str">
            <v>إدخال</v>
          </cell>
          <cell r="G31">
            <v>766</v>
          </cell>
          <cell r="H31">
            <v>1</v>
          </cell>
          <cell r="I31">
            <v>6</v>
          </cell>
        </row>
        <row r="32">
          <cell r="B32" t="str">
            <v>لومال الكسير جامبول غوتيه - رجالي</v>
          </cell>
          <cell r="C32" t="str">
            <v>إدخال</v>
          </cell>
          <cell r="G32">
            <v>588</v>
          </cell>
          <cell r="H32">
            <v>2</v>
          </cell>
          <cell r="I32">
            <v>1</v>
          </cell>
        </row>
        <row r="33">
          <cell r="B33" t="str">
            <v>ناكسوس اكس ارجوف - للجنسين</v>
          </cell>
          <cell r="C33" t="str">
            <v>إدخال</v>
          </cell>
          <cell r="G33">
            <v>598</v>
          </cell>
          <cell r="H33">
            <v>2</v>
          </cell>
          <cell r="I33">
            <v>1</v>
          </cell>
        </row>
        <row r="34">
          <cell r="B34" t="str">
            <v>توسكان لذر توم فورد - للجنسين</v>
          </cell>
          <cell r="C34" t="str">
            <v>إدخال</v>
          </cell>
          <cell r="G34">
            <v>979</v>
          </cell>
          <cell r="H34">
            <v>2</v>
          </cell>
          <cell r="I34">
            <v>1</v>
          </cell>
        </row>
        <row r="35">
          <cell r="B35" t="str">
            <v xml:space="preserve">اني نيشاني - للجنسين </v>
          </cell>
          <cell r="C35" t="str">
            <v>إدخال</v>
          </cell>
          <cell r="G35">
            <v>357</v>
          </cell>
          <cell r="H35">
            <v>2</v>
          </cell>
          <cell r="I35">
            <v>1</v>
          </cell>
        </row>
        <row r="36">
          <cell r="B36" t="str">
            <v>وصال - اجمل - للجنسين</v>
          </cell>
          <cell r="C36" t="str">
            <v>إدخال</v>
          </cell>
          <cell r="G36">
            <v>749</v>
          </cell>
          <cell r="H36">
            <v>2</v>
          </cell>
          <cell r="I36">
            <v>1</v>
          </cell>
        </row>
        <row r="37">
          <cell r="B37" t="str">
            <v>بولو بلو - رجالي</v>
          </cell>
          <cell r="C37" t="str">
            <v>إدخال</v>
          </cell>
          <cell r="G37">
            <v>737</v>
          </cell>
          <cell r="H37">
            <v>2</v>
          </cell>
          <cell r="I37">
            <v>2</v>
          </cell>
        </row>
        <row r="38">
          <cell r="B38" t="str">
            <v>كاريرا - زهرة الخليج - للجنسين</v>
          </cell>
          <cell r="C38" t="str">
            <v>إدخال</v>
          </cell>
          <cell r="G38">
            <v>708</v>
          </cell>
          <cell r="H38">
            <v>2</v>
          </cell>
          <cell r="I38">
            <v>2</v>
          </cell>
        </row>
        <row r="39">
          <cell r="B39" t="str">
            <v>بتلد بوس - رجالي</v>
          </cell>
          <cell r="C39" t="str">
            <v>إدخال</v>
          </cell>
          <cell r="G39">
            <v>601</v>
          </cell>
          <cell r="H39">
            <v>2</v>
          </cell>
          <cell r="I39">
            <v>2</v>
          </cell>
        </row>
        <row r="40">
          <cell r="B40" t="str">
            <v>فندي بورهوم - رجالي</v>
          </cell>
          <cell r="C40" t="str">
            <v>إدخال</v>
          </cell>
          <cell r="G40">
            <v>605</v>
          </cell>
          <cell r="H40">
            <v>2</v>
          </cell>
          <cell r="I40">
            <v>2</v>
          </cell>
        </row>
        <row r="41">
          <cell r="B41" t="str">
            <v>جان فرانكوفيري - رجالي</v>
          </cell>
          <cell r="C41" t="str">
            <v>إدخال</v>
          </cell>
          <cell r="G41">
            <v>719</v>
          </cell>
          <cell r="H41">
            <v>2</v>
          </cell>
          <cell r="I41">
            <v>2</v>
          </cell>
        </row>
        <row r="42">
          <cell r="B42" t="str">
            <v>اكوا برافا - بينو سيلفيستر - رجالي</v>
          </cell>
          <cell r="C42" t="str">
            <v>إدخال</v>
          </cell>
          <cell r="G42">
            <v>703</v>
          </cell>
          <cell r="H42">
            <v>2</v>
          </cell>
          <cell r="I42">
            <v>3</v>
          </cell>
        </row>
        <row r="43">
          <cell r="B43" t="str">
            <v>اكسينتو اكس ارجوف - للجنسين</v>
          </cell>
          <cell r="C43" t="str">
            <v>إدخال</v>
          </cell>
          <cell r="G43">
            <v>753</v>
          </cell>
          <cell r="H43">
            <v>2</v>
          </cell>
          <cell r="I43">
            <v>3</v>
          </cell>
        </row>
        <row r="44">
          <cell r="B44" t="str">
            <v>عود غوتشي - للجنسين</v>
          </cell>
          <cell r="C44" t="str">
            <v>إدخال</v>
          </cell>
          <cell r="G44">
            <v>800</v>
          </cell>
          <cell r="H44">
            <v>2</v>
          </cell>
          <cell r="I44">
            <v>3</v>
          </cell>
        </row>
        <row r="45">
          <cell r="B45" t="str">
            <v>كول ووتر دافيدوف -رجالي</v>
          </cell>
          <cell r="C45" t="str">
            <v>إدخال</v>
          </cell>
          <cell r="G45">
            <v>531</v>
          </cell>
          <cell r="H45">
            <v>2</v>
          </cell>
          <cell r="I45">
            <v>3</v>
          </cell>
        </row>
        <row r="46">
          <cell r="B46" t="str">
            <v>كول ووتر دافيدوف -رجالي</v>
          </cell>
          <cell r="C46" t="str">
            <v>إدخال</v>
          </cell>
          <cell r="G46">
            <v>768</v>
          </cell>
          <cell r="H46">
            <v>2</v>
          </cell>
          <cell r="I46">
            <v>3</v>
          </cell>
        </row>
        <row r="47">
          <cell r="B47" t="str">
            <v>بربل ليبل USA -رجالي</v>
          </cell>
          <cell r="C47" t="str">
            <v>إدخال</v>
          </cell>
          <cell r="G47">
            <v>505</v>
          </cell>
          <cell r="H47">
            <v>2</v>
          </cell>
          <cell r="I47">
            <v>4</v>
          </cell>
        </row>
        <row r="48">
          <cell r="B48" t="str">
            <v>اوشن لونج سكادة - نسائي</v>
          </cell>
          <cell r="C48" t="str">
            <v>إدخال</v>
          </cell>
          <cell r="G48">
            <v>1002</v>
          </cell>
          <cell r="H48">
            <v>2</v>
          </cell>
          <cell r="I48">
            <v>4</v>
          </cell>
        </row>
        <row r="49">
          <cell r="B49" t="str">
            <v>باشا دي كارتير - رجالي</v>
          </cell>
          <cell r="C49" t="str">
            <v>إدخال</v>
          </cell>
          <cell r="G49">
            <v>710</v>
          </cell>
          <cell r="H49">
            <v>2</v>
          </cell>
          <cell r="I49">
            <v>4</v>
          </cell>
        </row>
        <row r="50">
          <cell r="B50" t="str">
            <v>خمرة لطافة - للجنسين</v>
          </cell>
          <cell r="C50" t="str">
            <v>إدخال</v>
          </cell>
          <cell r="G50">
            <v>525</v>
          </cell>
          <cell r="H50">
            <v>2</v>
          </cell>
          <cell r="I50">
            <v>4</v>
          </cell>
        </row>
        <row r="51">
          <cell r="B51" t="str">
            <v>عود الابياد - إبراهيم القرشيي - للجنسين</v>
          </cell>
          <cell r="C51" t="str">
            <v>إدخال</v>
          </cell>
          <cell r="G51">
            <v>539</v>
          </cell>
          <cell r="H51">
            <v>2</v>
          </cell>
          <cell r="I51">
            <v>4</v>
          </cell>
        </row>
        <row r="52">
          <cell r="B52" t="str">
            <v>سنو مان - سكلبيتشر - رجالي</v>
          </cell>
          <cell r="C52" t="str">
            <v>إدخال</v>
          </cell>
          <cell r="G52">
            <v>215</v>
          </cell>
          <cell r="H52">
            <v>2</v>
          </cell>
          <cell r="I52">
            <v>5</v>
          </cell>
        </row>
        <row r="53">
          <cell r="B53" t="str">
            <v>لكي مان - رجالي</v>
          </cell>
          <cell r="C53" t="str">
            <v>إدخال</v>
          </cell>
          <cell r="G53">
            <v>649</v>
          </cell>
          <cell r="H53">
            <v>2</v>
          </cell>
          <cell r="I53">
            <v>5</v>
          </cell>
        </row>
        <row r="54">
          <cell r="B54" t="str">
            <v>مستر بربري - رجالي</v>
          </cell>
          <cell r="C54" t="str">
            <v>إدخال</v>
          </cell>
          <cell r="G54">
            <v>397</v>
          </cell>
          <cell r="H54">
            <v>2</v>
          </cell>
          <cell r="I54">
            <v>5</v>
          </cell>
        </row>
        <row r="55">
          <cell r="B55" t="str">
            <v>فلانتينو في - دارج رصاصي - رجالي</v>
          </cell>
          <cell r="C55" t="str">
            <v>إدخال</v>
          </cell>
          <cell r="G55">
            <v>601</v>
          </cell>
          <cell r="H55">
            <v>2</v>
          </cell>
          <cell r="I55">
            <v>5</v>
          </cell>
        </row>
        <row r="56">
          <cell r="B56" t="str">
            <v>لومال بورهوم - رجالي</v>
          </cell>
          <cell r="C56" t="str">
            <v>إدخال</v>
          </cell>
          <cell r="G56">
            <v>503</v>
          </cell>
          <cell r="H56">
            <v>2</v>
          </cell>
          <cell r="I56">
            <v>5</v>
          </cell>
        </row>
        <row r="57">
          <cell r="B57" t="str">
            <v>لورد جورج بينك هاليسون - رجالي</v>
          </cell>
          <cell r="C57" t="str">
            <v>إدخال</v>
          </cell>
          <cell r="G57">
            <v>480</v>
          </cell>
          <cell r="H57">
            <v>2</v>
          </cell>
          <cell r="I57">
            <v>6</v>
          </cell>
        </row>
        <row r="58">
          <cell r="B58" t="str">
            <v>لابيدوس تيد - رجالي</v>
          </cell>
          <cell r="C58" t="str">
            <v>إدخال</v>
          </cell>
          <cell r="G58">
            <v>148</v>
          </cell>
          <cell r="H58">
            <v>2</v>
          </cell>
          <cell r="I58">
            <v>6</v>
          </cell>
        </row>
        <row r="59">
          <cell r="B59" t="str">
            <v>نوار اكستريم  توم فورد - رجالي</v>
          </cell>
          <cell r="C59" t="str">
            <v>إدخال</v>
          </cell>
          <cell r="G59">
            <v>605</v>
          </cell>
          <cell r="H59">
            <v>2</v>
          </cell>
          <cell r="I59">
            <v>6</v>
          </cell>
        </row>
        <row r="60">
          <cell r="B60" t="str">
            <v>باد بوي كارولينا هيريرا - رجالي</v>
          </cell>
          <cell r="C60" t="str">
            <v>إدخال</v>
          </cell>
          <cell r="G60">
            <v>713</v>
          </cell>
          <cell r="H60">
            <v>2</v>
          </cell>
          <cell r="I60">
            <v>6</v>
          </cell>
        </row>
        <row r="61">
          <cell r="B61" t="str">
            <v>امبريال فاليه قصة - للجنسين</v>
          </cell>
          <cell r="C61" t="str">
            <v>إدخال</v>
          </cell>
          <cell r="G61">
            <v>320</v>
          </cell>
          <cell r="H61">
            <v>2</v>
          </cell>
          <cell r="I61">
            <v>6</v>
          </cell>
        </row>
        <row r="62">
          <cell r="B62" t="str">
            <v>مونت بلانك ليجينت - رجاليي</v>
          </cell>
          <cell r="C62" t="str">
            <v>إدخال</v>
          </cell>
          <cell r="G62">
            <v>1000</v>
          </cell>
          <cell r="H62">
            <v>3</v>
          </cell>
          <cell r="I62">
            <v>1</v>
          </cell>
        </row>
        <row r="63">
          <cell r="B63" t="str">
            <v>مونت بلانك ليجينت - رجاليي</v>
          </cell>
          <cell r="C63" t="str">
            <v>إدخال</v>
          </cell>
          <cell r="G63">
            <v>506</v>
          </cell>
          <cell r="H63">
            <v>3</v>
          </cell>
          <cell r="I63">
            <v>1</v>
          </cell>
        </row>
        <row r="64">
          <cell r="B64" t="str">
            <v xml:space="preserve">سلك مسك رصاصي - لاكشري مسك - للجنسين </v>
          </cell>
          <cell r="C64" t="str">
            <v>إدخال</v>
          </cell>
          <cell r="G64">
            <v>535</v>
          </cell>
          <cell r="H64">
            <v>3</v>
          </cell>
          <cell r="I64">
            <v>1</v>
          </cell>
        </row>
        <row r="65">
          <cell r="B65" t="str">
            <v>هاشيفات نيشاني - رجالي</v>
          </cell>
          <cell r="C65" t="str">
            <v>إدخال</v>
          </cell>
          <cell r="G65">
            <v>325</v>
          </cell>
          <cell r="H65">
            <v>3</v>
          </cell>
          <cell r="I65">
            <v>1</v>
          </cell>
        </row>
        <row r="66">
          <cell r="B66" t="str">
            <v>الور هوم سبورت شانيل - رجالي</v>
          </cell>
          <cell r="C66" t="str">
            <v>إدخال</v>
          </cell>
          <cell r="G66">
            <v>1000</v>
          </cell>
          <cell r="H66">
            <v>3</v>
          </cell>
          <cell r="I66">
            <v>1</v>
          </cell>
        </row>
        <row r="67">
          <cell r="B67" t="str">
            <v>جوب بورهوم - رجالي</v>
          </cell>
          <cell r="C67" t="str">
            <v>إدخال</v>
          </cell>
          <cell r="G67">
            <v>1000</v>
          </cell>
          <cell r="H67">
            <v>3</v>
          </cell>
          <cell r="I67">
            <v>2</v>
          </cell>
        </row>
        <row r="68">
          <cell r="B68" t="str">
            <v>فوياج  اراميس - رجالي</v>
          </cell>
          <cell r="C68" t="str">
            <v>إدخال</v>
          </cell>
          <cell r="G68">
            <v>608</v>
          </cell>
          <cell r="H68">
            <v>3</v>
          </cell>
          <cell r="I68">
            <v>2</v>
          </cell>
        </row>
        <row r="69">
          <cell r="B69" t="str">
            <v>بروت  -رجالي</v>
          </cell>
          <cell r="C69" t="str">
            <v>إدخال</v>
          </cell>
          <cell r="G69">
            <v>383</v>
          </cell>
          <cell r="H69">
            <v>3</v>
          </cell>
          <cell r="I69">
            <v>2</v>
          </cell>
        </row>
        <row r="70">
          <cell r="B70" t="str">
            <v>اربابورا  سوسبيرو - رجالي</v>
          </cell>
          <cell r="C70" t="str">
            <v>إدخال</v>
          </cell>
          <cell r="G70">
            <v>1217</v>
          </cell>
          <cell r="H70">
            <v>3</v>
          </cell>
          <cell r="I70">
            <v>2</v>
          </cell>
        </row>
        <row r="71">
          <cell r="B71" t="str">
            <v>كينزو بورهوم - رجالي</v>
          </cell>
          <cell r="C71" t="str">
            <v>إدخال</v>
          </cell>
          <cell r="G71">
            <v>1000</v>
          </cell>
          <cell r="H71">
            <v>3</v>
          </cell>
          <cell r="I71">
            <v>2</v>
          </cell>
        </row>
        <row r="72">
          <cell r="B72" t="str">
            <v>موست وانتد ازارو - رجالي</v>
          </cell>
          <cell r="C72" t="str">
            <v>إدخال</v>
          </cell>
          <cell r="G72">
            <v>1000</v>
          </cell>
          <cell r="H72">
            <v>3</v>
          </cell>
          <cell r="I72">
            <v>3</v>
          </cell>
        </row>
        <row r="73">
          <cell r="B73" t="str">
            <v>بلو تاليسمان من إكس نيهيلو - للجنسين</v>
          </cell>
          <cell r="C73" t="str">
            <v>إدخال</v>
          </cell>
          <cell r="G73">
            <v>505</v>
          </cell>
          <cell r="H73">
            <v>3</v>
          </cell>
          <cell r="I73">
            <v>3</v>
          </cell>
        </row>
        <row r="74">
          <cell r="B74" t="str">
            <v>اكوا دي جيو جورجيو ارماني - رجالي</v>
          </cell>
          <cell r="C74" t="str">
            <v>إدخال</v>
          </cell>
          <cell r="G74">
            <v>455</v>
          </cell>
          <cell r="H74">
            <v>3</v>
          </cell>
          <cell r="I74">
            <v>3</v>
          </cell>
        </row>
        <row r="75">
          <cell r="B75" t="str">
            <v>بكرات روج mfk -للجنسين</v>
          </cell>
          <cell r="C75" t="str">
            <v>إدخال</v>
          </cell>
          <cell r="G75">
            <v>1104</v>
          </cell>
          <cell r="H75">
            <v>3</v>
          </cell>
          <cell r="I75">
            <v>3</v>
          </cell>
        </row>
        <row r="76">
          <cell r="B76" t="str">
            <v>بكرات روج mfk -للجنسين</v>
          </cell>
          <cell r="C76" t="str">
            <v>إدخال</v>
          </cell>
          <cell r="G76">
            <v>925</v>
          </cell>
          <cell r="H76">
            <v>3</v>
          </cell>
          <cell r="I76">
            <v>3</v>
          </cell>
        </row>
        <row r="77">
          <cell r="B77" t="str">
            <v>فهرنهايت كريستيان ديور - رجالي</v>
          </cell>
          <cell r="C77" t="str">
            <v>إدخال</v>
          </cell>
          <cell r="G77">
            <v>826</v>
          </cell>
          <cell r="H77">
            <v>3</v>
          </cell>
          <cell r="I77">
            <v>4</v>
          </cell>
        </row>
        <row r="78">
          <cell r="B78" t="str">
            <v>لاكوست وايت - رجالي</v>
          </cell>
          <cell r="C78" t="str">
            <v>إدخال</v>
          </cell>
          <cell r="G78">
            <v>1019</v>
          </cell>
          <cell r="H78">
            <v>3</v>
          </cell>
          <cell r="I78">
            <v>4</v>
          </cell>
        </row>
        <row r="79">
          <cell r="B79" t="str">
            <v>سيلفر مونتن - كريد ابيض - الوسام - رجالي</v>
          </cell>
          <cell r="C79" t="str">
            <v>إدخال</v>
          </cell>
          <cell r="G79">
            <v>1043</v>
          </cell>
          <cell r="H79">
            <v>3</v>
          </cell>
          <cell r="I79">
            <v>4</v>
          </cell>
        </row>
        <row r="80">
          <cell r="B80" t="str">
            <v>هوم انتنس كريستيان ديور - رجالي</v>
          </cell>
          <cell r="C80" t="str">
            <v>إدخال</v>
          </cell>
          <cell r="G80">
            <v>113</v>
          </cell>
          <cell r="H80">
            <v>3</v>
          </cell>
          <cell r="I80">
            <v>4</v>
          </cell>
        </row>
        <row r="81">
          <cell r="B81" t="str">
            <v>ازارو كروم - رجالي</v>
          </cell>
          <cell r="C81" t="str">
            <v>إدخال</v>
          </cell>
          <cell r="G81">
            <v>599</v>
          </cell>
          <cell r="H81">
            <v>3</v>
          </cell>
          <cell r="I81">
            <v>4</v>
          </cell>
        </row>
        <row r="82">
          <cell r="B82" t="str">
            <v xml:space="preserve">مسك ابيض إبراهيم القرشي - للجنسين </v>
          </cell>
          <cell r="C82" t="str">
            <v>إدخال</v>
          </cell>
          <cell r="G82">
            <v>1000</v>
          </cell>
          <cell r="H82">
            <v>3</v>
          </cell>
          <cell r="I82">
            <v>5</v>
          </cell>
        </row>
        <row r="83">
          <cell r="B83" t="str">
            <v xml:space="preserve">مسك ابيض إبراهيم القرشي - للجنسين </v>
          </cell>
          <cell r="C83" t="str">
            <v>إدخال</v>
          </cell>
          <cell r="G83">
            <v>500</v>
          </cell>
          <cell r="H83">
            <v>3</v>
          </cell>
          <cell r="I83">
            <v>5</v>
          </cell>
        </row>
        <row r="84">
          <cell r="B84" t="str">
            <v>شيخ الشيوخ لطافة - للجنسين</v>
          </cell>
          <cell r="C84" t="str">
            <v>إدخال</v>
          </cell>
          <cell r="G84">
            <v>704</v>
          </cell>
          <cell r="H84">
            <v>3</v>
          </cell>
          <cell r="I84">
            <v>5</v>
          </cell>
        </row>
        <row r="85">
          <cell r="B85" t="str">
            <v>اسينشال لاكوست - رجالي</v>
          </cell>
          <cell r="C85" t="str">
            <v>إدخال</v>
          </cell>
          <cell r="G85">
            <v>195</v>
          </cell>
          <cell r="H85">
            <v>3</v>
          </cell>
          <cell r="I85">
            <v>5</v>
          </cell>
        </row>
        <row r="86">
          <cell r="B86" t="str">
            <v>تشالينج لاكوست - رجالي</v>
          </cell>
          <cell r="C86" t="str">
            <v>إدخال</v>
          </cell>
          <cell r="G86">
            <v>451</v>
          </cell>
          <cell r="H86">
            <v>3</v>
          </cell>
          <cell r="I86">
            <v>5</v>
          </cell>
        </row>
        <row r="87">
          <cell r="B87" t="str">
            <v>امريكان سبريت امريكان - رجالي</v>
          </cell>
          <cell r="C87" t="str">
            <v>إدخال</v>
          </cell>
          <cell r="G87">
            <v>183</v>
          </cell>
          <cell r="H87">
            <v>3</v>
          </cell>
          <cell r="I87">
            <v>6</v>
          </cell>
        </row>
        <row r="88">
          <cell r="B88" t="str">
            <v>سترونغر وذ يو امبريو ارماني - رجالي</v>
          </cell>
          <cell r="C88" t="str">
            <v>إدخال</v>
          </cell>
          <cell r="G88">
            <v>500</v>
          </cell>
          <cell r="H88">
            <v>3</v>
          </cell>
          <cell r="I88">
            <v>6</v>
          </cell>
        </row>
        <row r="89">
          <cell r="B89" t="str">
            <v>لايت بلو بورهوم دولتشي غابانا - رجالي</v>
          </cell>
          <cell r="C89" t="str">
            <v>إدخال</v>
          </cell>
          <cell r="G89">
            <v>257</v>
          </cell>
          <cell r="H89">
            <v>3</v>
          </cell>
          <cell r="I89">
            <v>6</v>
          </cell>
        </row>
        <row r="90">
          <cell r="B90" t="str">
            <v xml:space="preserve">عود فور غرتنس  اينيتيو - للجنسين </v>
          </cell>
          <cell r="C90" t="str">
            <v>إدخال</v>
          </cell>
          <cell r="G90">
            <v>198</v>
          </cell>
          <cell r="H90">
            <v>3</v>
          </cell>
          <cell r="I90">
            <v>6</v>
          </cell>
        </row>
        <row r="91">
          <cell r="B91" t="str">
            <v>كلمات العربية للعود - للجنسين</v>
          </cell>
          <cell r="C91" t="str">
            <v>إدخال</v>
          </cell>
          <cell r="G91">
            <v>500</v>
          </cell>
          <cell r="H91">
            <v>3</v>
          </cell>
          <cell r="I91">
            <v>6</v>
          </cell>
        </row>
        <row r="92">
          <cell r="B92" t="str">
            <v>ستيلر تايم - ايمرالد - للجنسين</v>
          </cell>
          <cell r="C92" t="str">
            <v>إدخال</v>
          </cell>
          <cell r="G92">
            <v>120</v>
          </cell>
          <cell r="H92">
            <v>3</v>
          </cell>
          <cell r="I92">
            <v>7</v>
          </cell>
        </row>
        <row r="93">
          <cell r="B93" t="str">
            <v>سوفاج كريستيان ديور - رجالي</v>
          </cell>
          <cell r="C93" t="str">
            <v>إدخال</v>
          </cell>
          <cell r="G93">
            <v>500</v>
          </cell>
          <cell r="H93">
            <v>3</v>
          </cell>
          <cell r="I93">
            <v>7</v>
          </cell>
        </row>
        <row r="94">
          <cell r="B94" t="str">
            <v>سوفاج كريستيان ديور - رجالي</v>
          </cell>
          <cell r="C94" t="str">
            <v>إدخال</v>
          </cell>
          <cell r="G94">
            <v>500</v>
          </cell>
          <cell r="H94">
            <v>3</v>
          </cell>
          <cell r="I94">
            <v>7</v>
          </cell>
        </row>
        <row r="95">
          <cell r="B95" t="str">
            <v>سوفاج كريستيان ديور - رجالي</v>
          </cell>
          <cell r="C95" t="str">
            <v>إدخال</v>
          </cell>
          <cell r="G95">
            <v>500</v>
          </cell>
          <cell r="H95">
            <v>3</v>
          </cell>
          <cell r="I95">
            <v>7</v>
          </cell>
        </row>
        <row r="96">
          <cell r="B96" t="str">
            <v>سوفاج كريستيان ديور - رجالي</v>
          </cell>
          <cell r="C96" t="str">
            <v>إدخال</v>
          </cell>
          <cell r="G96">
            <v>302</v>
          </cell>
          <cell r="H96">
            <v>3</v>
          </cell>
          <cell r="I96">
            <v>7</v>
          </cell>
        </row>
        <row r="97">
          <cell r="B97" t="str">
            <v>ايماجينيشن L.V - رجالي</v>
          </cell>
          <cell r="C97" t="str">
            <v>إدخال</v>
          </cell>
          <cell r="G97">
            <v>254</v>
          </cell>
          <cell r="H97">
            <v>3</v>
          </cell>
          <cell r="I97">
            <v>7</v>
          </cell>
        </row>
        <row r="98">
          <cell r="B98" t="str">
            <v>الكسندريا 2 اكس زارجوف - رجالي</v>
          </cell>
          <cell r="C98" t="str">
            <v>إدخال</v>
          </cell>
          <cell r="G98">
            <v>500</v>
          </cell>
          <cell r="H98">
            <v>3</v>
          </cell>
          <cell r="I98" t="str">
            <v>1ط2</v>
          </cell>
        </row>
        <row r="99">
          <cell r="B99" t="str">
            <v>الكسندريا 2 اكس زارجوف - رجالي</v>
          </cell>
          <cell r="C99" t="str">
            <v>إدخال</v>
          </cell>
          <cell r="G99">
            <v>599</v>
          </cell>
          <cell r="H99">
            <v>3</v>
          </cell>
          <cell r="I99" t="str">
            <v>1ط2</v>
          </cell>
        </row>
        <row r="100">
          <cell r="B100" t="str">
            <v>بلاك افغانو ناسوماتو - للجنسين</v>
          </cell>
          <cell r="C100" t="str">
            <v>إدخال</v>
          </cell>
          <cell r="G100">
            <v>302</v>
          </cell>
          <cell r="H100">
            <v>3</v>
          </cell>
          <cell r="I100" t="str">
            <v>1ط2</v>
          </cell>
        </row>
        <row r="101">
          <cell r="B101" t="str">
            <v>ايجوست بلاتينيوم شانيل - رجالي</v>
          </cell>
          <cell r="C101" t="str">
            <v>إدخال</v>
          </cell>
          <cell r="G101">
            <v>583</v>
          </cell>
          <cell r="H101">
            <v>3</v>
          </cell>
          <cell r="I101" t="str">
            <v>1ط2</v>
          </cell>
        </row>
        <row r="102">
          <cell r="B102" t="str">
            <v xml:space="preserve">بارادايس غاردن  جامبول غويته - رجالي </v>
          </cell>
          <cell r="C102" t="str">
            <v>إدخال</v>
          </cell>
          <cell r="G102">
            <v>203</v>
          </cell>
          <cell r="H102">
            <v>3</v>
          </cell>
          <cell r="I102" t="str">
            <v>1ط2</v>
          </cell>
        </row>
        <row r="103">
          <cell r="B103" t="str">
            <v>سي كي ون كالفين كلاين - رجالي</v>
          </cell>
          <cell r="C103" t="str">
            <v>إدخال</v>
          </cell>
          <cell r="G103">
            <v>402</v>
          </cell>
          <cell r="H103">
            <v>3</v>
          </cell>
          <cell r="I103" t="str">
            <v>2ط2</v>
          </cell>
        </row>
        <row r="104">
          <cell r="B104" t="str">
            <v xml:space="preserve">كركي تزيانا تيرينزي - للجنسين </v>
          </cell>
          <cell r="C104" t="str">
            <v>إدخال</v>
          </cell>
          <cell r="G104">
            <v>245</v>
          </cell>
          <cell r="H104">
            <v>3</v>
          </cell>
          <cell r="I104" t="str">
            <v>2ط2</v>
          </cell>
        </row>
        <row r="105">
          <cell r="B105" t="str">
            <v>ماي سيلف Y.S.L - رجالي</v>
          </cell>
          <cell r="C105" t="str">
            <v>إدخال</v>
          </cell>
          <cell r="G105">
            <v>195</v>
          </cell>
          <cell r="H105">
            <v>3</v>
          </cell>
          <cell r="I105" t="str">
            <v>2ط2</v>
          </cell>
        </row>
        <row r="106">
          <cell r="B106" t="str">
            <v>سيكسي 212 كارولينا هيريرا - رجالي</v>
          </cell>
          <cell r="C106" t="str">
            <v>إدخال</v>
          </cell>
          <cell r="G106">
            <v>54</v>
          </cell>
          <cell r="H106">
            <v>3</v>
          </cell>
          <cell r="I106" t="str">
            <v>2ط2</v>
          </cell>
        </row>
        <row r="107">
          <cell r="B107" t="str">
            <v>في أي بي 212 كارولينا هيريرا- رجالي</v>
          </cell>
          <cell r="C107" t="str">
            <v>إدخال</v>
          </cell>
          <cell r="G107">
            <v>470</v>
          </cell>
          <cell r="H107">
            <v>3</v>
          </cell>
          <cell r="I107" t="str">
            <v>3ط2</v>
          </cell>
        </row>
        <row r="108">
          <cell r="B108" t="str">
            <v>كينزو بورهوم - رجالي</v>
          </cell>
          <cell r="C108" t="str">
            <v>إدخال</v>
          </cell>
          <cell r="G108">
            <v>605</v>
          </cell>
          <cell r="H108">
            <v>3</v>
          </cell>
          <cell r="I108" t="str">
            <v>2ط2</v>
          </cell>
        </row>
        <row r="109">
          <cell r="B109" t="str">
            <v>بومب شيل فيكتوريا سيكرت - نسائي</v>
          </cell>
          <cell r="C109" t="str">
            <v>إدخال</v>
          </cell>
          <cell r="G109">
            <v>1000</v>
          </cell>
          <cell r="H109">
            <v>4</v>
          </cell>
          <cell r="I109">
            <v>1</v>
          </cell>
        </row>
        <row r="110">
          <cell r="B110" t="str">
            <v>بومب شيل فيكتوريا سيكرت - نسائي</v>
          </cell>
          <cell r="C110" t="str">
            <v>إدخال</v>
          </cell>
          <cell r="G110">
            <v>1000</v>
          </cell>
          <cell r="H110">
            <v>4</v>
          </cell>
          <cell r="I110">
            <v>1</v>
          </cell>
        </row>
        <row r="111">
          <cell r="B111" t="str">
            <v>بومب شيل فيكتوريا سيكرت - نسائي</v>
          </cell>
          <cell r="C111" t="str">
            <v>إدخال</v>
          </cell>
          <cell r="G111">
            <v>523</v>
          </cell>
          <cell r="H111">
            <v>4</v>
          </cell>
          <cell r="I111">
            <v>1</v>
          </cell>
        </row>
        <row r="112">
          <cell r="B112" t="str">
            <v>هامول - للجنسين</v>
          </cell>
          <cell r="C112" t="str">
            <v>إدخال</v>
          </cell>
          <cell r="G112">
            <v>1000</v>
          </cell>
          <cell r="H112">
            <v>4</v>
          </cell>
          <cell r="I112">
            <v>1</v>
          </cell>
        </row>
        <row r="113">
          <cell r="B113" t="str">
            <v>بربري فور هير - نسائي</v>
          </cell>
          <cell r="C113" t="str">
            <v>إدخال</v>
          </cell>
          <cell r="G113">
            <v>859</v>
          </cell>
          <cell r="H113">
            <v>4</v>
          </cell>
          <cell r="I113">
            <v>1</v>
          </cell>
        </row>
        <row r="114">
          <cell r="B114" t="str">
            <v>عود ابيض - رصاصي - للجنسين</v>
          </cell>
          <cell r="C114" t="str">
            <v>إدخال</v>
          </cell>
          <cell r="G114">
            <v>1000</v>
          </cell>
          <cell r="H114">
            <v>4</v>
          </cell>
          <cell r="I114">
            <v>2</v>
          </cell>
        </row>
        <row r="115">
          <cell r="B115" t="str">
            <v>عود ابيض - رصاصي - للجنسين</v>
          </cell>
          <cell r="C115" t="str">
            <v>إدخال</v>
          </cell>
          <cell r="G115">
            <v>1270</v>
          </cell>
          <cell r="H115">
            <v>4</v>
          </cell>
          <cell r="I115">
            <v>2</v>
          </cell>
        </row>
        <row r="116">
          <cell r="B116" t="str">
            <v xml:space="preserve">فلور مسك نارسيسو رودريغيز - للجنسين </v>
          </cell>
          <cell r="C116" t="str">
            <v>إدخال</v>
          </cell>
          <cell r="G116">
            <v>248</v>
          </cell>
          <cell r="H116">
            <v>4</v>
          </cell>
          <cell r="I116">
            <v>2</v>
          </cell>
        </row>
        <row r="117">
          <cell r="B117" t="str">
            <v>رومبا - نسائي</v>
          </cell>
          <cell r="C117" t="str">
            <v>إدخال</v>
          </cell>
          <cell r="G117">
            <v>700</v>
          </cell>
          <cell r="H117">
            <v>4</v>
          </cell>
          <cell r="I117">
            <v>2</v>
          </cell>
        </row>
        <row r="118">
          <cell r="B118" t="str">
            <v xml:space="preserve">روز مسك مونتال - للجنسين </v>
          </cell>
          <cell r="C118" t="str">
            <v>إدخال</v>
          </cell>
          <cell r="G118">
            <v>227</v>
          </cell>
          <cell r="H118">
            <v>4</v>
          </cell>
          <cell r="I118">
            <v>2</v>
          </cell>
        </row>
        <row r="119">
          <cell r="B119" t="str">
            <v>لابومبا كارولينا هيريرا -  نسائي</v>
          </cell>
          <cell r="C119" t="str">
            <v>إدخال</v>
          </cell>
          <cell r="G119">
            <v>434</v>
          </cell>
          <cell r="H119">
            <v>4</v>
          </cell>
          <cell r="I119">
            <v>3</v>
          </cell>
        </row>
        <row r="120">
          <cell r="B120" t="str">
            <v>مون باريس Y.S.L - نسائي</v>
          </cell>
          <cell r="C120" t="str">
            <v>إدخال</v>
          </cell>
          <cell r="G120">
            <v>291</v>
          </cell>
          <cell r="H120">
            <v>4</v>
          </cell>
          <cell r="I120">
            <v>3</v>
          </cell>
        </row>
        <row r="121">
          <cell r="B121" t="str">
            <v>مدام جامبول غوتيه - نسائي</v>
          </cell>
          <cell r="C121" t="str">
            <v>إدخال</v>
          </cell>
          <cell r="G121">
            <v>998</v>
          </cell>
          <cell r="H121">
            <v>4</v>
          </cell>
          <cell r="I121">
            <v>3</v>
          </cell>
        </row>
        <row r="122">
          <cell r="B122" t="str">
            <v>مدام جامبول غوتيه - نسائي</v>
          </cell>
          <cell r="C122" t="str">
            <v>إدخال</v>
          </cell>
          <cell r="G122">
            <v>696</v>
          </cell>
          <cell r="H122">
            <v>4</v>
          </cell>
          <cell r="I122">
            <v>3</v>
          </cell>
        </row>
        <row r="123">
          <cell r="B123" t="str">
            <v>بيكوز اتس يو امبريو ارماني - نسائي</v>
          </cell>
          <cell r="C123" t="str">
            <v>إدخال</v>
          </cell>
          <cell r="G123">
            <v>266</v>
          </cell>
          <cell r="H123">
            <v>4</v>
          </cell>
          <cell r="I123">
            <v>3</v>
          </cell>
        </row>
        <row r="124">
          <cell r="B124" t="str">
            <v>فلانتينو بورن ان روما - نسائي</v>
          </cell>
          <cell r="C124" t="str">
            <v>إدخال</v>
          </cell>
          <cell r="G124">
            <v>1156</v>
          </cell>
          <cell r="H124">
            <v>4</v>
          </cell>
          <cell r="I124">
            <v>4</v>
          </cell>
        </row>
        <row r="125">
          <cell r="B125" t="str">
            <v>سكاندل بايي نايت جامبول غوتيه -نسائي</v>
          </cell>
          <cell r="C125" t="str">
            <v>إدخال</v>
          </cell>
          <cell r="G125">
            <v>312</v>
          </cell>
          <cell r="H125">
            <v>4</v>
          </cell>
          <cell r="I125">
            <v>4</v>
          </cell>
        </row>
        <row r="126">
          <cell r="B126" t="str">
            <v>سكاندل بايي نايت جامبول غوتيه -نسائي</v>
          </cell>
          <cell r="C126" t="str">
            <v>إدخال</v>
          </cell>
          <cell r="G126">
            <v>639</v>
          </cell>
          <cell r="H126">
            <v>4</v>
          </cell>
          <cell r="I126">
            <v>4</v>
          </cell>
        </row>
        <row r="127">
          <cell r="B127" t="str">
            <v>بليجرز  استي لودر - نسائي</v>
          </cell>
          <cell r="C127" t="str">
            <v>إدخال</v>
          </cell>
          <cell r="G127">
            <v>898</v>
          </cell>
          <cell r="H127">
            <v>4</v>
          </cell>
          <cell r="I127">
            <v>4</v>
          </cell>
        </row>
        <row r="128">
          <cell r="B128" t="str">
            <v>نيود - نسائي</v>
          </cell>
          <cell r="C128" t="str">
            <v>إدخال</v>
          </cell>
          <cell r="G128">
            <v>624</v>
          </cell>
          <cell r="H128">
            <v>4</v>
          </cell>
          <cell r="I128">
            <v>4</v>
          </cell>
        </row>
        <row r="129">
          <cell r="B129" t="str">
            <v xml:space="preserve">فانتازيا بريتني سبيرس - للجنسين </v>
          </cell>
          <cell r="C129" t="str">
            <v>إدخال</v>
          </cell>
          <cell r="G129">
            <v>462</v>
          </cell>
          <cell r="H129">
            <v>4</v>
          </cell>
          <cell r="I129">
            <v>5</v>
          </cell>
        </row>
        <row r="130">
          <cell r="B130" t="str">
            <v>يس أيام كشريل - نسائي</v>
          </cell>
          <cell r="C130" t="str">
            <v>إدخال</v>
          </cell>
          <cell r="G130">
            <v>249</v>
          </cell>
          <cell r="H130">
            <v>4</v>
          </cell>
          <cell r="I130">
            <v>5</v>
          </cell>
        </row>
        <row r="131">
          <cell r="B131" t="str">
            <v>مورزان ووردز اكس ارجوف - للجنسين</v>
          </cell>
          <cell r="C131" t="str">
            <v>إدخال</v>
          </cell>
          <cell r="G131">
            <v>466</v>
          </cell>
          <cell r="H131">
            <v>4</v>
          </cell>
          <cell r="I131">
            <v>5</v>
          </cell>
        </row>
        <row r="132">
          <cell r="B132" t="str">
            <v>مس ديور  شيري كريستيان ديور - نسائي</v>
          </cell>
          <cell r="C132" t="str">
            <v>إدخال</v>
          </cell>
          <cell r="G132">
            <v>610</v>
          </cell>
          <cell r="H132">
            <v>4</v>
          </cell>
          <cell r="I132">
            <v>5</v>
          </cell>
        </row>
        <row r="133">
          <cell r="B133" t="str">
            <v>بلاك اوبيوم Y.S.L - نسائي</v>
          </cell>
          <cell r="C133" t="str">
            <v>إدخال</v>
          </cell>
          <cell r="G133">
            <v>1013</v>
          </cell>
          <cell r="H133">
            <v>4</v>
          </cell>
          <cell r="I133">
            <v>5</v>
          </cell>
        </row>
        <row r="134">
          <cell r="B134" t="str">
            <v xml:space="preserve">فلور ناركوتيك اكسنيهيلو - للجنسين </v>
          </cell>
          <cell r="C134" t="str">
            <v>إدخال</v>
          </cell>
          <cell r="G134">
            <v>675</v>
          </cell>
          <cell r="H134">
            <v>4</v>
          </cell>
          <cell r="I134">
            <v>6</v>
          </cell>
        </row>
        <row r="135">
          <cell r="B135" t="str">
            <v>ديلينا بارفام ديمارلي - نسائي</v>
          </cell>
          <cell r="C135" t="str">
            <v>إدخال</v>
          </cell>
          <cell r="G135">
            <v>396</v>
          </cell>
          <cell r="H135">
            <v>4</v>
          </cell>
          <cell r="I135">
            <v>6</v>
          </cell>
        </row>
        <row r="136">
          <cell r="B136" t="str">
            <v>بيور بوازون كريستيان ديور  نسائي</v>
          </cell>
          <cell r="C136" t="str">
            <v>إدخال</v>
          </cell>
          <cell r="G136">
            <v>559</v>
          </cell>
          <cell r="H136">
            <v>4</v>
          </cell>
          <cell r="I136">
            <v>6</v>
          </cell>
        </row>
        <row r="137">
          <cell r="B137" t="str">
            <v>انجل بورفام - نسائي</v>
          </cell>
          <cell r="C137" t="str">
            <v>إدخال</v>
          </cell>
          <cell r="G137">
            <v>218</v>
          </cell>
          <cell r="H137">
            <v>4</v>
          </cell>
          <cell r="I137">
            <v>6</v>
          </cell>
        </row>
        <row r="138">
          <cell r="B138" t="str">
            <v>راش غوتشي - نسائي</v>
          </cell>
          <cell r="C138" t="str">
            <v>إدخال</v>
          </cell>
          <cell r="G138">
            <v>603</v>
          </cell>
          <cell r="H138">
            <v>4</v>
          </cell>
          <cell r="I138">
            <v>6</v>
          </cell>
        </row>
        <row r="139">
          <cell r="B139" t="str">
            <v>رومانس رصاصي - نسائي</v>
          </cell>
          <cell r="C139" t="str">
            <v>إدخال</v>
          </cell>
          <cell r="G139">
            <v>1008</v>
          </cell>
          <cell r="H139">
            <v>5</v>
          </cell>
          <cell r="I139">
            <v>1</v>
          </cell>
        </row>
        <row r="140">
          <cell r="B140" t="str">
            <v>روز فانيل مانسيرا - للجنسين</v>
          </cell>
          <cell r="C140" t="str">
            <v>إدخال</v>
          </cell>
          <cell r="G140">
            <v>889</v>
          </cell>
          <cell r="H140">
            <v>5</v>
          </cell>
          <cell r="I140">
            <v>1</v>
          </cell>
        </row>
        <row r="141">
          <cell r="B141" t="str">
            <v>ازارو وانتد غيرل - نسائي</v>
          </cell>
          <cell r="C141" t="str">
            <v>إدخال</v>
          </cell>
          <cell r="G141">
            <v>562</v>
          </cell>
          <cell r="H141">
            <v>5</v>
          </cell>
          <cell r="I141">
            <v>1</v>
          </cell>
        </row>
        <row r="142">
          <cell r="B142" t="str">
            <v>مارشميلو كيالي - نسائي</v>
          </cell>
          <cell r="C142" t="str">
            <v>إدخال</v>
          </cell>
          <cell r="G142">
            <v>610</v>
          </cell>
          <cell r="H142">
            <v>5</v>
          </cell>
          <cell r="I142">
            <v>1</v>
          </cell>
        </row>
        <row r="143">
          <cell r="B143" t="str">
            <v>بخور العرائس ارض الزعفران -للجنسين</v>
          </cell>
          <cell r="C143" t="str">
            <v>إدخال</v>
          </cell>
          <cell r="G143">
            <v>416</v>
          </cell>
          <cell r="H143">
            <v>5</v>
          </cell>
          <cell r="I143">
            <v>1</v>
          </cell>
        </row>
        <row r="144">
          <cell r="B144" t="str">
            <v>كوكونات باشن فيكتوريا سيكرت - نسائي</v>
          </cell>
          <cell r="C144" t="str">
            <v>إدخال</v>
          </cell>
          <cell r="G144">
            <v>603</v>
          </cell>
          <cell r="H144">
            <v>5</v>
          </cell>
          <cell r="I144">
            <v>2</v>
          </cell>
        </row>
        <row r="145">
          <cell r="B145" t="str">
            <v>سيلفر داست - غبار الفضة - ميدنايت فانتازي - نسائي</v>
          </cell>
          <cell r="C145" t="str">
            <v>إدخال</v>
          </cell>
          <cell r="G145">
            <v>713</v>
          </cell>
          <cell r="H145">
            <v>5</v>
          </cell>
          <cell r="I145">
            <v>2</v>
          </cell>
        </row>
        <row r="146">
          <cell r="B146" t="str">
            <v>سبايس بومب فيكتور رولف - رجالي</v>
          </cell>
          <cell r="C146" t="str">
            <v>إدخال</v>
          </cell>
          <cell r="G146">
            <v>868</v>
          </cell>
          <cell r="H146">
            <v>3</v>
          </cell>
          <cell r="I146" t="str">
            <v>3ط2</v>
          </cell>
        </row>
        <row r="147">
          <cell r="B147" t="str">
            <v>ويك اند بربري - نسائي</v>
          </cell>
          <cell r="C147" t="str">
            <v>إدخال</v>
          </cell>
          <cell r="G147">
            <v>710</v>
          </cell>
          <cell r="H147">
            <v>5</v>
          </cell>
          <cell r="I147">
            <v>2</v>
          </cell>
        </row>
        <row r="148">
          <cell r="B148" t="str">
            <v>بودي بربري -نسائي</v>
          </cell>
          <cell r="C148" t="str">
            <v>إدخال</v>
          </cell>
          <cell r="G148">
            <v>251</v>
          </cell>
          <cell r="H148">
            <v>5</v>
          </cell>
          <cell r="I148">
            <v>2</v>
          </cell>
        </row>
        <row r="149">
          <cell r="B149" t="str">
            <v>شانص شانيل - نسائي</v>
          </cell>
          <cell r="C149" t="str">
            <v>إدخال</v>
          </cell>
          <cell r="G149">
            <v>322</v>
          </cell>
          <cell r="H149">
            <v>5</v>
          </cell>
          <cell r="I149">
            <v>2</v>
          </cell>
        </row>
        <row r="150">
          <cell r="B150" t="str">
            <v>سنشوال جوهان بي - نسائي</v>
          </cell>
          <cell r="C150" t="str">
            <v>إدخال</v>
          </cell>
          <cell r="G150">
            <v>202</v>
          </cell>
          <cell r="H150">
            <v>5</v>
          </cell>
          <cell r="I150">
            <v>3</v>
          </cell>
        </row>
        <row r="151">
          <cell r="B151" t="str">
            <v xml:space="preserve">مون سباركل سكادة - نسائي </v>
          </cell>
          <cell r="C151" t="str">
            <v>إدخال</v>
          </cell>
          <cell r="G151">
            <v>205</v>
          </cell>
          <cell r="H151">
            <v>5</v>
          </cell>
          <cell r="I151">
            <v>3</v>
          </cell>
        </row>
        <row r="152">
          <cell r="B152" t="str">
            <v>اترنتي كالفين كلاين - نسائي</v>
          </cell>
          <cell r="C152" t="str">
            <v>إدخال</v>
          </cell>
          <cell r="G152">
            <v>235</v>
          </cell>
          <cell r="H152">
            <v>5</v>
          </cell>
          <cell r="I152">
            <v>3</v>
          </cell>
        </row>
        <row r="153">
          <cell r="B153" t="str">
            <v>وان اند اونلي قصة - للجنسين</v>
          </cell>
          <cell r="C153" t="str">
            <v>إدخال</v>
          </cell>
          <cell r="G153">
            <v>251</v>
          </cell>
          <cell r="H153">
            <v>5</v>
          </cell>
          <cell r="I153">
            <v>3</v>
          </cell>
        </row>
        <row r="154">
          <cell r="B154" t="str">
            <v>لوف اذ هفنلي فيكتوريا سكرت - نسائي</v>
          </cell>
          <cell r="C154" t="str">
            <v>إدخال</v>
          </cell>
          <cell r="G154">
            <v>93</v>
          </cell>
          <cell r="H154">
            <v>5</v>
          </cell>
          <cell r="I154">
            <v>3</v>
          </cell>
        </row>
        <row r="155">
          <cell r="B155" t="str">
            <v>شانص اوتندر شانيل - نسائي</v>
          </cell>
          <cell r="C155" t="str">
            <v>إدخال</v>
          </cell>
          <cell r="G155">
            <v>1000</v>
          </cell>
          <cell r="H155">
            <v>5</v>
          </cell>
          <cell r="I155">
            <v>4</v>
          </cell>
        </row>
        <row r="156">
          <cell r="B156" t="str">
            <v>ميدنايت روز لانكوم - نسائي</v>
          </cell>
          <cell r="C156" t="str">
            <v>إدخال</v>
          </cell>
          <cell r="G156">
            <v>1000</v>
          </cell>
          <cell r="H156">
            <v>5</v>
          </cell>
          <cell r="I156">
            <v>4</v>
          </cell>
        </row>
        <row r="157">
          <cell r="B157" t="str">
            <v>ميدنايت روز لانكوم - نسائي</v>
          </cell>
          <cell r="C157" t="str">
            <v>إدخال</v>
          </cell>
          <cell r="G157">
            <v>612</v>
          </cell>
          <cell r="H157">
            <v>5</v>
          </cell>
          <cell r="I157">
            <v>4</v>
          </cell>
        </row>
        <row r="158">
          <cell r="B158" t="str">
            <v>غود غيرل كارولينا هيريرا - نسائي</v>
          </cell>
          <cell r="C158" t="str">
            <v>إدخال</v>
          </cell>
          <cell r="G158">
            <v>1000</v>
          </cell>
          <cell r="H158">
            <v>5</v>
          </cell>
          <cell r="I158">
            <v>4</v>
          </cell>
        </row>
        <row r="159">
          <cell r="B159" t="str">
            <v>غود غيرل كارولينا هيريرا - نسائي</v>
          </cell>
          <cell r="C159" t="str">
            <v>إدخال</v>
          </cell>
          <cell r="G159">
            <v>500</v>
          </cell>
          <cell r="H159">
            <v>5</v>
          </cell>
          <cell r="I159">
            <v>4</v>
          </cell>
        </row>
        <row r="160">
          <cell r="B160" t="str">
            <v>تاتش اوف بينك لاكوست - نسائي</v>
          </cell>
          <cell r="C160" t="str">
            <v>إدخال</v>
          </cell>
          <cell r="G160">
            <v>1000</v>
          </cell>
          <cell r="H160">
            <v>5</v>
          </cell>
          <cell r="I160">
            <v>5</v>
          </cell>
        </row>
        <row r="161">
          <cell r="B161" t="str">
            <v>جي جورجيو بيفرلي هيلز - نسائي</v>
          </cell>
          <cell r="C161" t="str">
            <v>إدخال</v>
          </cell>
          <cell r="G161">
            <v>1000</v>
          </cell>
          <cell r="H161">
            <v>5</v>
          </cell>
          <cell r="I161">
            <v>5</v>
          </cell>
        </row>
        <row r="162">
          <cell r="B162" t="str">
            <v>ليبر Y.S.L-نسائي</v>
          </cell>
          <cell r="C162" t="str">
            <v>إدخال</v>
          </cell>
          <cell r="G162">
            <v>1000</v>
          </cell>
          <cell r="H162">
            <v>5</v>
          </cell>
          <cell r="I162">
            <v>5</v>
          </cell>
        </row>
        <row r="163">
          <cell r="B163" t="str">
            <v>ليبر Y.S.L-نسائي</v>
          </cell>
          <cell r="C163" t="str">
            <v>إدخال</v>
          </cell>
          <cell r="G163">
            <v>505</v>
          </cell>
          <cell r="H163">
            <v>5</v>
          </cell>
          <cell r="I163">
            <v>5</v>
          </cell>
        </row>
        <row r="164">
          <cell r="B164" t="str">
            <v>جادور كريستيان ديور - نسائي</v>
          </cell>
          <cell r="C164" t="str">
            <v>إدخال</v>
          </cell>
          <cell r="G164">
            <v>743</v>
          </cell>
          <cell r="H164">
            <v>5</v>
          </cell>
          <cell r="I164">
            <v>5</v>
          </cell>
        </row>
        <row r="165">
          <cell r="B165" t="str">
            <v>رالف رولين - روج - نسائي</v>
          </cell>
          <cell r="C165" t="str">
            <v>إدخال</v>
          </cell>
          <cell r="G165">
            <v>1074</v>
          </cell>
          <cell r="H165">
            <v>5</v>
          </cell>
          <cell r="I165">
            <v>6</v>
          </cell>
        </row>
        <row r="166">
          <cell r="B166" t="str">
            <v>تاج سنسيت سكادة - نسائي</v>
          </cell>
          <cell r="C166" t="str">
            <v>إدخال</v>
          </cell>
          <cell r="G166">
            <v>692</v>
          </cell>
          <cell r="H166">
            <v>5</v>
          </cell>
          <cell r="I166">
            <v>6</v>
          </cell>
        </row>
        <row r="167">
          <cell r="B167" t="str">
            <v>ايدول لانكوم - نسائي</v>
          </cell>
          <cell r="C167" t="str">
            <v>إدخال</v>
          </cell>
          <cell r="G167">
            <v>710</v>
          </cell>
          <cell r="H167">
            <v>5</v>
          </cell>
          <cell r="I167">
            <v>6</v>
          </cell>
        </row>
        <row r="168">
          <cell r="B168" t="str">
            <v>باراديسو روبيرتو كافالي  - نسائي</v>
          </cell>
          <cell r="C168" t="str">
            <v>إدخال</v>
          </cell>
          <cell r="G168">
            <v>513</v>
          </cell>
          <cell r="H168">
            <v>5</v>
          </cell>
          <cell r="I168">
            <v>6</v>
          </cell>
        </row>
        <row r="169">
          <cell r="B169" t="str">
            <v>سي جورجيو ارماني - نسائي</v>
          </cell>
          <cell r="C169" t="str">
            <v>إدخال</v>
          </cell>
          <cell r="G169">
            <v>112</v>
          </cell>
          <cell r="H169">
            <v>5</v>
          </cell>
          <cell r="I169">
            <v>6</v>
          </cell>
        </row>
        <row r="170">
          <cell r="B170" t="str">
            <v>جوي فل سكادة - نسائي</v>
          </cell>
          <cell r="C170" t="str">
            <v>إدخال</v>
          </cell>
          <cell r="G170">
            <v>701</v>
          </cell>
          <cell r="H170">
            <v>6</v>
          </cell>
          <cell r="I170">
            <v>1</v>
          </cell>
        </row>
        <row r="171">
          <cell r="B171" t="str">
            <v>هيبنوتيك بوازون كريستيان ديور - نسائي</v>
          </cell>
          <cell r="C171" t="str">
            <v>إدخال</v>
          </cell>
          <cell r="G171">
            <v>159</v>
          </cell>
          <cell r="H171">
            <v>6</v>
          </cell>
          <cell r="I171">
            <v>1</v>
          </cell>
        </row>
        <row r="172">
          <cell r="B172" t="str">
            <v>نوا كشريل - نسائي</v>
          </cell>
          <cell r="C172" t="str">
            <v>إدخال</v>
          </cell>
          <cell r="G172">
            <v>147</v>
          </cell>
          <cell r="H172">
            <v>6</v>
          </cell>
          <cell r="I172">
            <v>1</v>
          </cell>
        </row>
        <row r="173">
          <cell r="B173" t="str">
            <v>انيس انيس - نسائي</v>
          </cell>
          <cell r="C173" t="str">
            <v>إدخال</v>
          </cell>
          <cell r="G173">
            <v>699</v>
          </cell>
          <cell r="H173">
            <v>6</v>
          </cell>
          <cell r="I173">
            <v>1</v>
          </cell>
        </row>
        <row r="174">
          <cell r="B174" t="str">
            <v xml:space="preserve">فوالا قصة - للجنسين </v>
          </cell>
          <cell r="C174" t="str">
            <v>إدخال</v>
          </cell>
          <cell r="G174">
            <v>279</v>
          </cell>
          <cell r="H174">
            <v>6</v>
          </cell>
          <cell r="I174">
            <v>1</v>
          </cell>
        </row>
        <row r="175">
          <cell r="B175" t="str">
            <v xml:space="preserve">زهرة التوليب - للجنسين </v>
          </cell>
          <cell r="C175" t="str">
            <v>إدخال</v>
          </cell>
          <cell r="G175">
            <v>307</v>
          </cell>
          <cell r="H175">
            <v>6</v>
          </cell>
          <cell r="I175">
            <v>2</v>
          </cell>
        </row>
        <row r="176">
          <cell r="B176" t="str">
            <v xml:space="preserve">ليمون - للجنسين </v>
          </cell>
          <cell r="C176" t="str">
            <v>إدخال</v>
          </cell>
          <cell r="G176">
            <v>812</v>
          </cell>
          <cell r="H176">
            <v>6</v>
          </cell>
          <cell r="I176">
            <v>2</v>
          </cell>
        </row>
        <row r="177">
          <cell r="B177" t="str">
            <v>نوتة عنبر - للجنسين</v>
          </cell>
          <cell r="C177" t="str">
            <v>إدخال</v>
          </cell>
          <cell r="G177">
            <v>322</v>
          </cell>
          <cell r="H177">
            <v>6</v>
          </cell>
          <cell r="I177">
            <v>2</v>
          </cell>
        </row>
        <row r="178">
          <cell r="B178" t="str">
            <v>ملبس - كارون - مسكلود -للجنسين</v>
          </cell>
          <cell r="C178" t="str">
            <v>إدخال</v>
          </cell>
          <cell r="G178">
            <v>148</v>
          </cell>
          <cell r="H178">
            <v>6</v>
          </cell>
          <cell r="I178">
            <v>2</v>
          </cell>
        </row>
        <row r="179">
          <cell r="B179" t="str">
            <v>هوغو وومن - نسائي</v>
          </cell>
          <cell r="C179" t="str">
            <v>إدخال</v>
          </cell>
          <cell r="G179">
            <v>66</v>
          </cell>
          <cell r="H179">
            <v>6</v>
          </cell>
          <cell r="I179">
            <v>2</v>
          </cell>
        </row>
        <row r="180">
          <cell r="B180" t="str">
            <v>اوريغانزا جيفينشي - نسائي</v>
          </cell>
          <cell r="C180" t="str">
            <v>إدخال</v>
          </cell>
          <cell r="G180">
            <v>707</v>
          </cell>
          <cell r="H180">
            <v>6</v>
          </cell>
          <cell r="I180">
            <v>3</v>
          </cell>
        </row>
        <row r="181">
          <cell r="B181" t="str">
            <v>في أي ابي 212كارولينا هيريرا - نسائي</v>
          </cell>
          <cell r="C181" t="str">
            <v>إدخال</v>
          </cell>
          <cell r="G181">
            <v>150</v>
          </cell>
          <cell r="H181">
            <v>6</v>
          </cell>
          <cell r="I181">
            <v>3</v>
          </cell>
        </row>
        <row r="182">
          <cell r="B182" t="str">
            <v>ستيلا - دي سيديلا - نسائي</v>
          </cell>
          <cell r="C182" t="str">
            <v>إدخال</v>
          </cell>
          <cell r="G182">
            <v>707</v>
          </cell>
          <cell r="H182">
            <v>6</v>
          </cell>
          <cell r="I182">
            <v>3</v>
          </cell>
        </row>
        <row r="183">
          <cell r="B183" t="str">
            <v>بينك شيفون - يارا - نسائي</v>
          </cell>
          <cell r="C183" t="str">
            <v>إدخال</v>
          </cell>
          <cell r="G183">
            <v>1000</v>
          </cell>
          <cell r="H183">
            <v>6</v>
          </cell>
          <cell r="I183">
            <v>3</v>
          </cell>
        </row>
        <row r="184">
          <cell r="B184" t="str">
            <v>بينك شيفون - يارا - نسائي</v>
          </cell>
          <cell r="C184" t="str">
            <v>إدخال</v>
          </cell>
          <cell r="G184">
            <v>507</v>
          </cell>
          <cell r="H184">
            <v>6</v>
          </cell>
          <cell r="I184">
            <v>3</v>
          </cell>
        </row>
        <row r="185">
          <cell r="B185" t="str">
            <v>ايلي صعب - نسائي</v>
          </cell>
          <cell r="C185" t="str">
            <v>إدخال</v>
          </cell>
          <cell r="G185">
            <v>700</v>
          </cell>
          <cell r="H185">
            <v>6</v>
          </cell>
          <cell r="I185">
            <v>4</v>
          </cell>
        </row>
        <row r="186">
          <cell r="B186" t="str">
            <v>ماتري بريميير - للجنسين</v>
          </cell>
          <cell r="C186" t="str">
            <v>إدخال</v>
          </cell>
          <cell r="G186">
            <v>803</v>
          </cell>
          <cell r="H186">
            <v>6</v>
          </cell>
          <cell r="I186">
            <v>4</v>
          </cell>
        </row>
        <row r="187">
          <cell r="B187" t="str">
            <v xml:space="preserve">لوكس - للجنسين </v>
          </cell>
          <cell r="C187" t="str">
            <v>إدخال</v>
          </cell>
          <cell r="G187">
            <v>600</v>
          </cell>
          <cell r="H187">
            <v>6</v>
          </cell>
          <cell r="I187">
            <v>4</v>
          </cell>
        </row>
        <row r="188">
          <cell r="B188" t="str">
            <v>ليدي مليون باكورابان - نسائي</v>
          </cell>
          <cell r="C188" t="str">
            <v>إدخال</v>
          </cell>
          <cell r="G188">
            <v>600</v>
          </cell>
          <cell r="H188">
            <v>6</v>
          </cell>
          <cell r="I188">
            <v>4</v>
          </cell>
        </row>
        <row r="189">
          <cell r="B189" t="str">
            <v xml:space="preserve">فا - للجنسين </v>
          </cell>
          <cell r="C189" t="str">
            <v>إدخال</v>
          </cell>
          <cell r="G189">
            <v>598</v>
          </cell>
          <cell r="H189">
            <v>6</v>
          </cell>
          <cell r="I189">
            <v>4</v>
          </cell>
        </row>
        <row r="190">
          <cell r="B190" t="str">
            <v>مسك جوفان - للجنسين</v>
          </cell>
          <cell r="C190" t="str">
            <v>إدخال</v>
          </cell>
          <cell r="G190">
            <v>697</v>
          </cell>
          <cell r="H190">
            <v>6</v>
          </cell>
          <cell r="I190">
            <v>5</v>
          </cell>
        </row>
        <row r="191">
          <cell r="B191" t="str">
            <v>دوف -  للجنسين</v>
          </cell>
          <cell r="C191" t="str">
            <v>إدخال</v>
          </cell>
          <cell r="G191">
            <v>211</v>
          </cell>
          <cell r="H191">
            <v>6</v>
          </cell>
          <cell r="I191">
            <v>5</v>
          </cell>
        </row>
        <row r="192">
          <cell r="B192" t="str">
            <v>خمرة قهوة لطافة -للجنسين</v>
          </cell>
          <cell r="C192" t="str">
            <v>إدخال</v>
          </cell>
          <cell r="G192">
            <v>72</v>
          </cell>
          <cell r="H192">
            <v>6</v>
          </cell>
          <cell r="I192">
            <v>5</v>
          </cell>
        </row>
        <row r="193">
          <cell r="B193" t="str">
            <v xml:space="preserve">لايت شوكلت - شوكولا - للجنسين </v>
          </cell>
          <cell r="C193" t="str">
            <v>إدخال</v>
          </cell>
          <cell r="G193">
            <v>31</v>
          </cell>
          <cell r="H193">
            <v>6</v>
          </cell>
          <cell r="I193">
            <v>5</v>
          </cell>
        </row>
        <row r="194">
          <cell r="B194" t="str">
            <v xml:space="preserve">مسك طهارة شفاف - مسك قرشي - للجنسين </v>
          </cell>
          <cell r="C194" t="str">
            <v>إدخال</v>
          </cell>
          <cell r="G194">
            <v>43</v>
          </cell>
          <cell r="H194">
            <v>6</v>
          </cell>
          <cell r="I194">
            <v>6</v>
          </cell>
        </row>
        <row r="195">
          <cell r="B195" t="str">
            <v>لو ديسي ايسي مياكي -رجالي</v>
          </cell>
          <cell r="C195" t="str">
            <v>إدخال</v>
          </cell>
          <cell r="G195">
            <v>200</v>
          </cell>
          <cell r="H195">
            <v>6</v>
          </cell>
          <cell r="I195">
            <v>6</v>
          </cell>
        </row>
        <row r="196">
          <cell r="B196" t="str">
            <v>مس لافيرن - نسائي</v>
          </cell>
          <cell r="C196" t="str">
            <v>إدخال</v>
          </cell>
          <cell r="G196">
            <v>135</v>
          </cell>
          <cell r="H196">
            <v>6</v>
          </cell>
          <cell r="I196">
            <v>6</v>
          </cell>
        </row>
        <row r="197">
          <cell r="B197" t="str">
            <v>كيالي فانيل  28 - نسائي</v>
          </cell>
          <cell r="C197" t="str">
            <v>إدخال</v>
          </cell>
          <cell r="G197">
            <v>500</v>
          </cell>
          <cell r="H197">
            <v>6</v>
          </cell>
          <cell r="I197">
            <v>6</v>
          </cell>
        </row>
        <row r="198">
          <cell r="B198" t="str">
            <v xml:space="preserve">غولدين داست -غبار الذهب - فانيل - للجنسين </v>
          </cell>
          <cell r="C198" t="str">
            <v>إدخال</v>
          </cell>
          <cell r="G198">
            <v>210</v>
          </cell>
          <cell r="H198">
            <v>6</v>
          </cell>
          <cell r="I198">
            <v>6</v>
          </cell>
        </row>
        <row r="199">
          <cell r="B199" t="str">
            <v>جان فرانكوفيري - رجالي</v>
          </cell>
          <cell r="C199" t="str">
            <v>إدخال</v>
          </cell>
          <cell r="G199">
            <v>499</v>
          </cell>
          <cell r="H199">
            <v>2</v>
          </cell>
          <cell r="I199" t="str">
            <v>2ط2</v>
          </cell>
        </row>
        <row r="200">
          <cell r="B200" t="str">
            <v>زهرة ليلك - للجنسين</v>
          </cell>
          <cell r="C200" t="str">
            <v>إدخال</v>
          </cell>
          <cell r="G200">
            <v>10</v>
          </cell>
          <cell r="H200" t="str">
            <v>مختوم ومسك</v>
          </cell>
          <cell r="I200" t="str">
            <v>-</v>
          </cell>
        </row>
        <row r="201">
          <cell r="B201" t="str">
            <v>تفاح - للجنسين</v>
          </cell>
          <cell r="C201" t="str">
            <v>إدخال</v>
          </cell>
          <cell r="G201">
            <v>50</v>
          </cell>
          <cell r="H201" t="str">
            <v>مختوم ومسك</v>
          </cell>
          <cell r="I201" t="str">
            <v>-</v>
          </cell>
        </row>
        <row r="202">
          <cell r="B202" t="str">
            <v>نيفيا كريم - للجنسين</v>
          </cell>
          <cell r="C202" t="str">
            <v>إدخال</v>
          </cell>
          <cell r="G202">
            <v>320</v>
          </cell>
          <cell r="H202" t="str">
            <v>مختوم ومسك</v>
          </cell>
          <cell r="I202" t="str">
            <v>-</v>
          </cell>
        </row>
        <row r="203">
          <cell r="B203" t="str">
            <v>هيدن شولدرز- للجنسين</v>
          </cell>
          <cell r="C203" t="str">
            <v>إدخال</v>
          </cell>
          <cell r="G203">
            <v>290</v>
          </cell>
          <cell r="H203" t="str">
            <v>مختوم ومسك</v>
          </cell>
          <cell r="I203" t="str">
            <v>-</v>
          </cell>
        </row>
        <row r="204">
          <cell r="B204" t="str">
            <v>زهرة البنفسج -للجنسين</v>
          </cell>
          <cell r="C204" t="str">
            <v>إدخال</v>
          </cell>
          <cell r="G204">
            <v>286</v>
          </cell>
          <cell r="H204" t="str">
            <v>مختوم ومسك</v>
          </cell>
          <cell r="I204" t="str">
            <v>-</v>
          </cell>
        </row>
        <row r="205">
          <cell r="B205" t="str">
            <v xml:space="preserve">زهرة لافندر - للجنسين </v>
          </cell>
          <cell r="C205" t="str">
            <v>إدخال</v>
          </cell>
          <cell r="G205">
            <v>110</v>
          </cell>
          <cell r="H205" t="str">
            <v>مختوم ومسك</v>
          </cell>
          <cell r="I205" t="str">
            <v>-</v>
          </cell>
        </row>
        <row r="206">
          <cell r="B206" t="str">
            <v>اكسترا فاغانس - مستودع</v>
          </cell>
          <cell r="C206" t="str">
            <v>إدخال</v>
          </cell>
          <cell r="G206">
            <v>5069</v>
          </cell>
          <cell r="H206" t="str">
            <v>مختوم ومسك</v>
          </cell>
          <cell r="I206" t="str">
            <v>-</v>
          </cell>
        </row>
        <row r="207">
          <cell r="B207" t="str">
            <v>كريستوبال -مستودع</v>
          </cell>
          <cell r="C207" t="str">
            <v>إدخال</v>
          </cell>
          <cell r="G207">
            <v>3367</v>
          </cell>
          <cell r="H207" t="str">
            <v>مختوم ومسك</v>
          </cell>
          <cell r="I207" t="str">
            <v>-</v>
          </cell>
        </row>
        <row r="208">
          <cell r="B208" t="str">
            <v>روز اوف نومان باي ريدو - مستودع</v>
          </cell>
          <cell r="C208" t="str">
            <v>إدخال</v>
          </cell>
          <cell r="G208">
            <v>2306</v>
          </cell>
          <cell r="H208" t="str">
            <v>مختوم ومسك</v>
          </cell>
          <cell r="I208" t="str">
            <v>-</v>
          </cell>
        </row>
        <row r="209">
          <cell r="B209" t="str">
            <v>ماليبو - مستودع</v>
          </cell>
          <cell r="C209" t="str">
            <v>إدخال</v>
          </cell>
          <cell r="G209">
            <v>3351</v>
          </cell>
          <cell r="H209" t="str">
            <v>مختوم ومسك</v>
          </cell>
          <cell r="I209" t="str">
            <v>-</v>
          </cell>
        </row>
        <row r="210">
          <cell r="B210" t="str">
            <v>مسك رمان إبراهيم قرشي -للجنسين</v>
          </cell>
          <cell r="C210" t="str">
            <v>إدخال</v>
          </cell>
          <cell r="G210">
            <v>60</v>
          </cell>
          <cell r="H210" t="str">
            <v>مختوم ومسك</v>
          </cell>
          <cell r="I210" t="str">
            <v>-</v>
          </cell>
        </row>
        <row r="211">
          <cell r="B211" t="str">
            <v xml:space="preserve">مسك طهارة إبراهيم القرشي - للجنسين </v>
          </cell>
          <cell r="C211" t="str">
            <v>إدخال</v>
          </cell>
          <cell r="G211">
            <v>2330</v>
          </cell>
          <cell r="H211" t="str">
            <v>مختوم ومسك</v>
          </cell>
          <cell r="I211" t="str">
            <v>-</v>
          </cell>
        </row>
        <row r="212">
          <cell r="B212" t="str">
            <v xml:space="preserve">مسك توت إبراهيم القرشي - للجنسين </v>
          </cell>
          <cell r="C212" t="str">
            <v>إدخال</v>
          </cell>
          <cell r="G212">
            <v>250</v>
          </cell>
          <cell r="H212" t="str">
            <v>مختوم ومسك</v>
          </cell>
          <cell r="I212" t="str">
            <v>-</v>
          </cell>
        </row>
        <row r="213">
          <cell r="B213" t="str">
            <v xml:space="preserve">مسك فانيل إبراهيم القرشي - للجنسين </v>
          </cell>
          <cell r="C213" t="str">
            <v>إدخال</v>
          </cell>
          <cell r="G213">
            <v>350</v>
          </cell>
          <cell r="H213" t="str">
            <v>مختوم ومسك</v>
          </cell>
          <cell r="I213" t="str">
            <v>-</v>
          </cell>
        </row>
        <row r="214">
          <cell r="B214" t="str">
            <v xml:space="preserve">مسك باودر إبراهيم القرشي - للجنسين </v>
          </cell>
          <cell r="C214" t="str">
            <v>إدخال</v>
          </cell>
          <cell r="G214">
            <v>1119</v>
          </cell>
          <cell r="H214" t="str">
            <v>مختوم ومسك</v>
          </cell>
          <cell r="I214" t="str">
            <v>-</v>
          </cell>
        </row>
        <row r="215">
          <cell r="B215" t="str">
            <v>رالف رولين - روج - نسائي</v>
          </cell>
          <cell r="C215" t="str">
            <v>إخراج</v>
          </cell>
          <cell r="G215">
            <v>500</v>
          </cell>
          <cell r="H215">
            <v>5</v>
          </cell>
          <cell r="I215">
            <v>6</v>
          </cell>
        </row>
        <row r="216">
          <cell r="B216" t="str">
            <v>خمرة لطافة - للجنسين</v>
          </cell>
          <cell r="C216" t="str">
            <v>إخراج</v>
          </cell>
          <cell r="G216">
            <v>396</v>
          </cell>
          <cell r="H216">
            <v>2</v>
          </cell>
          <cell r="I216">
            <v>4</v>
          </cell>
        </row>
        <row r="217">
          <cell r="B217" t="str">
            <v>سيلفر مونتن - كريد ابيض - الوسام - رجالي</v>
          </cell>
          <cell r="C217" t="str">
            <v>إخراج</v>
          </cell>
          <cell r="G217">
            <v>487</v>
          </cell>
          <cell r="H217">
            <v>3</v>
          </cell>
          <cell r="I217">
            <v>4</v>
          </cell>
        </row>
        <row r="218">
          <cell r="B218" t="str">
            <v>ماتري بريميير - للجنسين</v>
          </cell>
          <cell r="C218" t="str">
            <v>إدخال</v>
          </cell>
          <cell r="G218">
            <v>470</v>
          </cell>
          <cell r="H218">
            <v>6</v>
          </cell>
          <cell r="I218">
            <v>4</v>
          </cell>
        </row>
        <row r="219">
          <cell r="B219" t="str">
            <v>مسك رمان إبراهيم قرشي -للجنسين</v>
          </cell>
          <cell r="C219" t="str">
            <v>إخراج</v>
          </cell>
          <cell r="G219">
            <v>60</v>
          </cell>
          <cell r="H219" t="str">
            <v>مختوم ومسك</v>
          </cell>
          <cell r="I219" t="str">
            <v>-</v>
          </cell>
        </row>
        <row r="220">
          <cell r="B220" t="str">
            <v xml:space="preserve">مسك توت إبراهيم القرشي - للجنسين </v>
          </cell>
          <cell r="C220" t="str">
            <v>إخراج</v>
          </cell>
          <cell r="G220">
            <v>233</v>
          </cell>
          <cell r="H220" t="str">
            <v>مختوم ومسك</v>
          </cell>
          <cell r="I220" t="str">
            <v>-</v>
          </cell>
        </row>
        <row r="221">
          <cell r="B221" t="str">
            <v xml:space="preserve">مسك فانيل إبراهيم القرشي - للجنسين </v>
          </cell>
          <cell r="C221" t="str">
            <v>إخراج</v>
          </cell>
          <cell r="G221">
            <v>200</v>
          </cell>
          <cell r="H221" t="str">
            <v>مختوم ومسك</v>
          </cell>
          <cell r="I221" t="str">
            <v>-</v>
          </cell>
        </row>
        <row r="222">
          <cell r="B222" t="str">
            <v>مس لافيرن - نسائي</v>
          </cell>
          <cell r="C222" t="str">
            <v>إدخال</v>
          </cell>
          <cell r="G222">
            <v>250</v>
          </cell>
          <cell r="H222">
            <v>6</v>
          </cell>
          <cell r="I222">
            <v>6</v>
          </cell>
        </row>
        <row r="223">
          <cell r="B223" t="str">
            <v>فلانتينو بورن ان روما - نسائي</v>
          </cell>
          <cell r="C223" t="str">
            <v>إخراج</v>
          </cell>
          <cell r="G223">
            <v>200</v>
          </cell>
          <cell r="H223">
            <v>4</v>
          </cell>
          <cell r="I223">
            <v>4</v>
          </cell>
        </row>
        <row r="224">
          <cell r="B224" t="str">
            <v>شانص اوتندر شانيل - نسائي</v>
          </cell>
          <cell r="C224" t="str">
            <v>إخراج</v>
          </cell>
          <cell r="G224">
            <v>245</v>
          </cell>
          <cell r="H224">
            <v>5</v>
          </cell>
          <cell r="I224">
            <v>4</v>
          </cell>
        </row>
        <row r="225">
          <cell r="B225" t="str">
            <v>سوفاج الكسير كريستيان ديور - رجالي</v>
          </cell>
          <cell r="C225" t="str">
            <v>إخراج</v>
          </cell>
          <cell r="G225">
            <v>253</v>
          </cell>
          <cell r="H225">
            <v>1</v>
          </cell>
          <cell r="I225">
            <v>4</v>
          </cell>
        </row>
        <row r="226">
          <cell r="B226" t="str">
            <v>عود الابياد - إبراهيم القرشيي - للجنسين</v>
          </cell>
          <cell r="C226" t="str">
            <v>إخراج</v>
          </cell>
          <cell r="G226">
            <v>127</v>
          </cell>
          <cell r="H226">
            <v>2</v>
          </cell>
          <cell r="I226">
            <v>4</v>
          </cell>
        </row>
        <row r="227">
          <cell r="B227" t="str">
            <v>ديزاير دينهيل - رجالي</v>
          </cell>
          <cell r="C227" t="str">
            <v>إخراج</v>
          </cell>
          <cell r="G227">
            <v>236</v>
          </cell>
          <cell r="H227">
            <v>1</v>
          </cell>
          <cell r="I227">
            <v>5</v>
          </cell>
        </row>
        <row r="228">
          <cell r="B228" t="str">
            <v>بربري فور هير - نسائي</v>
          </cell>
          <cell r="C228" t="str">
            <v>إخراج</v>
          </cell>
          <cell r="G228">
            <v>200</v>
          </cell>
          <cell r="H228">
            <v>4</v>
          </cell>
          <cell r="I228">
            <v>1</v>
          </cell>
        </row>
        <row r="229">
          <cell r="B229" t="str">
            <v>لومال الكسير جامبول غوتيه - رجالي</v>
          </cell>
          <cell r="C229" t="str">
            <v>إخراج</v>
          </cell>
          <cell r="G229">
            <v>253</v>
          </cell>
          <cell r="H229">
            <v>2</v>
          </cell>
          <cell r="I229">
            <v>1</v>
          </cell>
        </row>
        <row r="230">
          <cell r="B230" t="str">
            <v>ماتري بريميير - للجنسين</v>
          </cell>
          <cell r="C230" t="str">
            <v>إخراج</v>
          </cell>
          <cell r="G230">
            <v>200</v>
          </cell>
          <cell r="H230">
            <v>6</v>
          </cell>
          <cell r="I230">
            <v>4</v>
          </cell>
        </row>
        <row r="231">
          <cell r="B231" t="str">
            <v>دوف -  للجنسين</v>
          </cell>
          <cell r="C231" t="str">
            <v>إخراج</v>
          </cell>
          <cell r="G231">
            <v>211</v>
          </cell>
          <cell r="H231">
            <v>6</v>
          </cell>
          <cell r="I231">
            <v>5</v>
          </cell>
        </row>
        <row r="232">
          <cell r="B232" t="str">
            <v xml:space="preserve">روز مسك مونتال - للجنسين </v>
          </cell>
          <cell r="C232" t="str">
            <v>إخراج</v>
          </cell>
          <cell r="G232">
            <v>227</v>
          </cell>
          <cell r="H232">
            <v>4</v>
          </cell>
          <cell r="I232">
            <v>2</v>
          </cell>
        </row>
        <row r="233">
          <cell r="B233" t="str">
            <v>ديلينا بارفام ديمارلي - نسائي</v>
          </cell>
          <cell r="C233" t="str">
            <v>إخراج</v>
          </cell>
          <cell r="G233">
            <v>200</v>
          </cell>
          <cell r="H233">
            <v>4</v>
          </cell>
          <cell r="I233">
            <v>6</v>
          </cell>
        </row>
        <row r="234">
          <cell r="B234" t="str">
            <v>شيخ الشيوخ لطافة - للجنسين</v>
          </cell>
          <cell r="C234" t="str">
            <v>إخراج</v>
          </cell>
          <cell r="G234">
            <v>100</v>
          </cell>
          <cell r="H234">
            <v>3</v>
          </cell>
          <cell r="I234">
            <v>5</v>
          </cell>
        </row>
        <row r="235">
          <cell r="C235" t="str">
            <v>إخراج</v>
          </cell>
          <cell r="G235" t="str">
            <v/>
          </cell>
          <cell r="H235" t="str">
            <v/>
          </cell>
          <cell r="I235" t="str">
            <v/>
          </cell>
        </row>
        <row r="236">
          <cell r="G236" t="str">
            <v/>
          </cell>
          <cell r="H236" t="str">
            <v/>
          </cell>
          <cell r="I236" t="str">
            <v/>
          </cell>
        </row>
        <row r="237">
          <cell r="G237" t="str">
            <v/>
          </cell>
          <cell r="H237" t="str">
            <v/>
          </cell>
          <cell r="I237" t="str">
            <v/>
          </cell>
        </row>
        <row r="238">
          <cell r="G238" t="str">
            <v/>
          </cell>
          <cell r="H238" t="str">
            <v/>
          </cell>
          <cell r="I238" t="str">
            <v/>
          </cell>
        </row>
        <row r="239">
          <cell r="G239" t="str">
            <v/>
          </cell>
          <cell r="H239" t="str">
            <v/>
          </cell>
          <cell r="I239" t="str">
            <v/>
          </cell>
        </row>
        <row r="240">
          <cell r="G240" t="str">
            <v/>
          </cell>
          <cell r="H240" t="str">
            <v/>
          </cell>
          <cell r="I240" t="str">
            <v/>
          </cell>
        </row>
        <row r="241">
          <cell r="G241" t="str">
            <v/>
          </cell>
          <cell r="H241" t="str">
            <v/>
          </cell>
          <cell r="I241" t="str">
            <v/>
          </cell>
        </row>
        <row r="242">
          <cell r="G242" t="str">
            <v/>
          </cell>
          <cell r="H242" t="str">
            <v/>
          </cell>
          <cell r="I242" t="str">
            <v/>
          </cell>
        </row>
        <row r="243">
          <cell r="G243" t="str">
            <v/>
          </cell>
          <cell r="H243" t="str">
            <v/>
          </cell>
          <cell r="I243" t="str">
            <v/>
          </cell>
        </row>
        <row r="244">
          <cell r="G244" t="str">
            <v/>
          </cell>
          <cell r="H244" t="str">
            <v/>
          </cell>
          <cell r="I244" t="str">
            <v/>
          </cell>
        </row>
        <row r="245">
          <cell r="G245" t="str">
            <v/>
          </cell>
          <cell r="H245" t="str">
            <v/>
          </cell>
          <cell r="I245" t="str">
            <v/>
          </cell>
        </row>
        <row r="246">
          <cell r="G246" t="str">
            <v/>
          </cell>
          <cell r="H246" t="str">
            <v/>
          </cell>
          <cell r="I246" t="str">
            <v/>
          </cell>
        </row>
        <row r="247">
          <cell r="G247" t="str">
            <v/>
          </cell>
          <cell r="H247" t="str">
            <v/>
          </cell>
          <cell r="I247" t="str">
            <v/>
          </cell>
        </row>
        <row r="248">
          <cell r="G248" t="str">
            <v/>
          </cell>
          <cell r="H248" t="str">
            <v/>
          </cell>
          <cell r="I248" t="str">
            <v/>
          </cell>
        </row>
        <row r="249">
          <cell r="G249" t="str">
            <v/>
          </cell>
          <cell r="H249" t="str">
            <v/>
          </cell>
          <cell r="I249" t="str">
            <v/>
          </cell>
        </row>
        <row r="250">
          <cell r="G250" t="str">
            <v/>
          </cell>
          <cell r="H250" t="str">
            <v/>
          </cell>
          <cell r="I250" t="str">
            <v/>
          </cell>
        </row>
        <row r="251">
          <cell r="G251" t="str">
            <v/>
          </cell>
          <cell r="H251" t="str">
            <v/>
          </cell>
          <cell r="I251" t="str">
            <v/>
          </cell>
        </row>
        <row r="252">
          <cell r="G252" t="str">
            <v/>
          </cell>
          <cell r="H252" t="str">
            <v/>
          </cell>
          <cell r="I252" t="str">
            <v/>
          </cell>
        </row>
        <row r="253">
          <cell r="G253" t="str">
            <v/>
          </cell>
          <cell r="H253" t="str">
            <v/>
          </cell>
          <cell r="I253" t="str">
            <v/>
          </cell>
        </row>
        <row r="254">
          <cell r="G254" t="str">
            <v/>
          </cell>
          <cell r="H254" t="str">
            <v/>
          </cell>
          <cell r="I254" t="str">
            <v/>
          </cell>
        </row>
        <row r="255">
          <cell r="G255" t="str">
            <v/>
          </cell>
          <cell r="H255" t="str">
            <v/>
          </cell>
          <cell r="I255" t="str">
            <v/>
          </cell>
        </row>
        <row r="256">
          <cell r="G256" t="str">
            <v/>
          </cell>
          <cell r="H256" t="str">
            <v/>
          </cell>
          <cell r="I256" t="str">
            <v/>
          </cell>
        </row>
        <row r="257">
          <cell r="G257" t="str">
            <v/>
          </cell>
          <cell r="H257" t="str">
            <v/>
          </cell>
          <cell r="I257" t="str">
            <v/>
          </cell>
        </row>
        <row r="258">
          <cell r="G258" t="str">
            <v/>
          </cell>
          <cell r="H258" t="str">
            <v/>
          </cell>
          <cell r="I258" t="str">
            <v/>
          </cell>
        </row>
        <row r="259">
          <cell r="G259" t="str">
            <v/>
          </cell>
          <cell r="H259" t="str">
            <v/>
          </cell>
          <cell r="I259" t="str">
            <v/>
          </cell>
        </row>
        <row r="260">
          <cell r="G260" t="str">
            <v/>
          </cell>
          <cell r="H260" t="str">
            <v/>
          </cell>
          <cell r="I260" t="str">
            <v/>
          </cell>
        </row>
        <row r="261">
          <cell r="G261" t="str">
            <v/>
          </cell>
          <cell r="H261" t="str">
            <v/>
          </cell>
          <cell r="I261" t="str">
            <v/>
          </cell>
        </row>
        <row r="262">
          <cell r="G262" t="str">
            <v/>
          </cell>
          <cell r="H262" t="str">
            <v/>
          </cell>
          <cell r="I262" t="str">
            <v/>
          </cell>
        </row>
        <row r="263">
          <cell r="G263" t="str">
            <v/>
          </cell>
          <cell r="H263" t="str">
            <v/>
          </cell>
          <cell r="I263" t="str">
            <v/>
          </cell>
        </row>
        <row r="264">
          <cell r="G264" t="str">
            <v/>
          </cell>
          <cell r="H264" t="str">
            <v/>
          </cell>
          <cell r="I264" t="str">
            <v/>
          </cell>
        </row>
        <row r="265">
          <cell r="G265" t="str">
            <v/>
          </cell>
          <cell r="H265" t="str">
            <v/>
          </cell>
          <cell r="I265" t="str">
            <v/>
          </cell>
        </row>
        <row r="266">
          <cell r="G266" t="str">
            <v/>
          </cell>
          <cell r="H266" t="str">
            <v/>
          </cell>
          <cell r="I266" t="str">
            <v/>
          </cell>
        </row>
        <row r="267">
          <cell r="G267" t="str">
            <v/>
          </cell>
          <cell r="H267" t="str">
            <v/>
          </cell>
          <cell r="I267" t="str">
            <v/>
          </cell>
        </row>
        <row r="268">
          <cell r="G268" t="str">
            <v/>
          </cell>
          <cell r="H268" t="str">
            <v/>
          </cell>
          <cell r="I268" t="str">
            <v/>
          </cell>
        </row>
        <row r="269">
          <cell r="G269" t="str">
            <v/>
          </cell>
          <cell r="H269" t="str">
            <v/>
          </cell>
          <cell r="I269" t="str">
            <v/>
          </cell>
        </row>
        <row r="270">
          <cell r="G270" t="str">
            <v/>
          </cell>
          <cell r="H270" t="str">
            <v/>
          </cell>
          <cell r="I270" t="str">
            <v/>
          </cell>
        </row>
        <row r="271">
          <cell r="G271" t="str">
            <v/>
          </cell>
          <cell r="H271" t="str">
            <v/>
          </cell>
          <cell r="I271" t="str">
            <v/>
          </cell>
        </row>
        <row r="272">
          <cell r="G272" t="str">
            <v/>
          </cell>
          <cell r="H272" t="str">
            <v/>
          </cell>
          <cell r="I272" t="str">
            <v/>
          </cell>
        </row>
        <row r="273">
          <cell r="G273" t="str">
            <v/>
          </cell>
          <cell r="H273" t="str">
            <v/>
          </cell>
          <cell r="I273" t="str">
            <v/>
          </cell>
        </row>
        <row r="274">
          <cell r="G274" t="str">
            <v/>
          </cell>
          <cell r="H274" t="str">
            <v/>
          </cell>
          <cell r="I274" t="str">
            <v/>
          </cell>
        </row>
        <row r="275">
          <cell r="G275" t="str">
            <v/>
          </cell>
          <cell r="H275" t="str">
            <v/>
          </cell>
          <cell r="I275" t="str">
            <v/>
          </cell>
        </row>
        <row r="276">
          <cell r="G276" t="str">
            <v/>
          </cell>
          <cell r="H276" t="str">
            <v/>
          </cell>
          <cell r="I276" t="str">
            <v/>
          </cell>
        </row>
        <row r="277">
          <cell r="G277" t="str">
            <v/>
          </cell>
          <cell r="H277" t="str">
            <v/>
          </cell>
          <cell r="I277" t="str">
            <v/>
          </cell>
        </row>
        <row r="278">
          <cell r="G278" t="str">
            <v/>
          </cell>
          <cell r="H278" t="str">
            <v/>
          </cell>
          <cell r="I278" t="str">
            <v/>
          </cell>
        </row>
        <row r="279">
          <cell r="G279" t="str">
            <v/>
          </cell>
          <cell r="H279" t="str">
            <v/>
          </cell>
          <cell r="I279" t="str">
            <v/>
          </cell>
        </row>
        <row r="280">
          <cell r="G280" t="str">
            <v/>
          </cell>
          <cell r="H280" t="str">
            <v/>
          </cell>
          <cell r="I280" t="str">
            <v/>
          </cell>
        </row>
        <row r="281">
          <cell r="G281" t="str">
            <v/>
          </cell>
          <cell r="H281" t="str">
            <v/>
          </cell>
          <cell r="I281" t="str">
            <v/>
          </cell>
        </row>
        <row r="282">
          <cell r="G282" t="str">
            <v/>
          </cell>
          <cell r="H282" t="str">
            <v/>
          </cell>
          <cell r="I282" t="str">
            <v/>
          </cell>
        </row>
        <row r="283">
          <cell r="G283" t="str">
            <v/>
          </cell>
          <cell r="H283" t="str">
            <v/>
          </cell>
          <cell r="I283" t="str">
            <v/>
          </cell>
        </row>
        <row r="284">
          <cell r="G284" t="str">
            <v/>
          </cell>
          <cell r="H284" t="str">
            <v/>
          </cell>
          <cell r="I284" t="str">
            <v/>
          </cell>
        </row>
        <row r="285">
          <cell r="G285" t="str">
            <v/>
          </cell>
          <cell r="H285" t="str">
            <v/>
          </cell>
          <cell r="I285" t="str">
            <v/>
          </cell>
        </row>
        <row r="286">
          <cell r="G286" t="str">
            <v/>
          </cell>
          <cell r="H286" t="str">
            <v/>
          </cell>
          <cell r="I286" t="str">
            <v/>
          </cell>
        </row>
        <row r="287">
          <cell r="G287" t="str">
            <v/>
          </cell>
          <cell r="H287" t="str">
            <v/>
          </cell>
          <cell r="I287" t="str">
            <v/>
          </cell>
        </row>
        <row r="288">
          <cell r="G288" t="str">
            <v/>
          </cell>
          <cell r="H288" t="str">
            <v/>
          </cell>
          <cell r="I288" t="str">
            <v/>
          </cell>
        </row>
        <row r="289">
          <cell r="G289" t="str">
            <v/>
          </cell>
          <cell r="H289" t="str">
            <v/>
          </cell>
          <cell r="I289" t="str">
            <v/>
          </cell>
        </row>
        <row r="290">
          <cell r="G290" t="str">
            <v/>
          </cell>
          <cell r="H290" t="str">
            <v/>
          </cell>
          <cell r="I290" t="str">
            <v/>
          </cell>
        </row>
        <row r="291">
          <cell r="G291" t="str">
            <v/>
          </cell>
          <cell r="H291" t="str">
            <v/>
          </cell>
          <cell r="I291" t="str">
            <v/>
          </cell>
        </row>
        <row r="292">
          <cell r="G292" t="str">
            <v/>
          </cell>
          <cell r="H292" t="str">
            <v/>
          </cell>
          <cell r="I292" t="str">
            <v/>
          </cell>
        </row>
        <row r="293">
          <cell r="G293" t="str">
            <v/>
          </cell>
          <cell r="H293" t="str">
            <v/>
          </cell>
          <cell r="I293" t="str">
            <v/>
          </cell>
        </row>
        <row r="294">
          <cell r="G294" t="str">
            <v/>
          </cell>
          <cell r="H294" t="str">
            <v/>
          </cell>
          <cell r="I294" t="str">
            <v/>
          </cell>
        </row>
        <row r="295">
          <cell r="G295" t="str">
            <v/>
          </cell>
          <cell r="H295" t="str">
            <v/>
          </cell>
          <cell r="I295" t="str">
            <v/>
          </cell>
        </row>
        <row r="296">
          <cell r="G296" t="str">
            <v/>
          </cell>
          <cell r="H296" t="str">
            <v/>
          </cell>
          <cell r="I296" t="str">
            <v/>
          </cell>
        </row>
        <row r="297">
          <cell r="G297" t="str">
            <v/>
          </cell>
          <cell r="H297" t="str">
            <v/>
          </cell>
          <cell r="I297" t="str">
            <v/>
          </cell>
        </row>
        <row r="298">
          <cell r="G298" t="str">
            <v/>
          </cell>
          <cell r="H298" t="str">
            <v/>
          </cell>
          <cell r="I298" t="str">
            <v/>
          </cell>
        </row>
        <row r="299">
          <cell r="G299" t="str">
            <v/>
          </cell>
          <cell r="H299" t="str">
            <v/>
          </cell>
          <cell r="I299" t="str">
            <v/>
          </cell>
        </row>
        <row r="300">
          <cell r="G300" t="str">
            <v/>
          </cell>
          <cell r="H300" t="str">
            <v/>
          </cell>
          <cell r="I300" t="str">
            <v/>
          </cell>
        </row>
        <row r="301">
          <cell r="G301" t="str">
            <v/>
          </cell>
          <cell r="H301" t="str">
            <v/>
          </cell>
          <cell r="I301" t="str">
            <v/>
          </cell>
        </row>
        <row r="302">
          <cell r="G302" t="str">
            <v/>
          </cell>
          <cell r="H302" t="str">
            <v/>
          </cell>
          <cell r="I302" t="str">
            <v/>
          </cell>
        </row>
        <row r="303">
          <cell r="G303" t="str">
            <v/>
          </cell>
          <cell r="H303" t="str">
            <v/>
          </cell>
          <cell r="I303" t="str">
            <v/>
          </cell>
        </row>
        <row r="304">
          <cell r="G304" t="str">
            <v/>
          </cell>
          <cell r="H304" t="str">
            <v/>
          </cell>
          <cell r="I304" t="str">
            <v/>
          </cell>
        </row>
        <row r="305">
          <cell r="G305" t="str">
            <v/>
          </cell>
          <cell r="H305" t="str">
            <v/>
          </cell>
          <cell r="I305" t="str">
            <v/>
          </cell>
        </row>
        <row r="306">
          <cell r="G306" t="str">
            <v/>
          </cell>
          <cell r="H306" t="str">
            <v/>
          </cell>
          <cell r="I306" t="str">
            <v/>
          </cell>
        </row>
        <row r="307">
          <cell r="G307" t="str">
            <v/>
          </cell>
          <cell r="H307" t="str">
            <v/>
          </cell>
          <cell r="I307" t="str">
            <v/>
          </cell>
        </row>
        <row r="308">
          <cell r="G308" t="str">
            <v/>
          </cell>
          <cell r="H308" t="str">
            <v/>
          </cell>
          <cell r="I308" t="str">
            <v/>
          </cell>
        </row>
        <row r="309">
          <cell r="G309" t="str">
            <v/>
          </cell>
          <cell r="H309" t="str">
            <v/>
          </cell>
          <cell r="I309" t="str">
            <v/>
          </cell>
        </row>
        <row r="310">
          <cell r="G310" t="str">
            <v/>
          </cell>
          <cell r="H310" t="str">
            <v/>
          </cell>
          <cell r="I310" t="str">
            <v/>
          </cell>
        </row>
        <row r="311">
          <cell r="G311" t="str">
            <v/>
          </cell>
          <cell r="H311" t="str">
            <v/>
          </cell>
          <cell r="I311" t="str">
            <v/>
          </cell>
        </row>
        <row r="312">
          <cell r="G312" t="str">
            <v/>
          </cell>
          <cell r="H312" t="str">
            <v/>
          </cell>
          <cell r="I312" t="str">
            <v/>
          </cell>
        </row>
        <row r="313">
          <cell r="G313" t="str">
            <v/>
          </cell>
          <cell r="H313" t="str">
            <v/>
          </cell>
          <cell r="I313" t="str">
            <v/>
          </cell>
        </row>
        <row r="314">
          <cell r="G314" t="str">
            <v/>
          </cell>
          <cell r="H314" t="str">
            <v/>
          </cell>
          <cell r="I314" t="str">
            <v/>
          </cell>
        </row>
        <row r="315">
          <cell r="G315" t="str">
            <v/>
          </cell>
          <cell r="H315" t="str">
            <v/>
          </cell>
          <cell r="I315" t="str">
            <v/>
          </cell>
        </row>
        <row r="316">
          <cell r="G316" t="str">
            <v/>
          </cell>
          <cell r="H316" t="str">
            <v/>
          </cell>
          <cell r="I316" t="str">
            <v/>
          </cell>
        </row>
        <row r="317">
          <cell r="G317" t="str">
            <v/>
          </cell>
          <cell r="H317" t="str">
            <v/>
          </cell>
          <cell r="I317" t="str">
            <v/>
          </cell>
        </row>
        <row r="318">
          <cell r="G318" t="str">
            <v/>
          </cell>
          <cell r="H318" t="str">
            <v/>
          </cell>
          <cell r="I318" t="str">
            <v/>
          </cell>
        </row>
        <row r="319">
          <cell r="G319" t="str">
            <v/>
          </cell>
          <cell r="H319" t="str">
            <v/>
          </cell>
          <cell r="I319" t="str">
            <v/>
          </cell>
        </row>
        <row r="320">
          <cell r="G320" t="str">
            <v/>
          </cell>
          <cell r="H320" t="str">
            <v/>
          </cell>
          <cell r="I320" t="str">
            <v/>
          </cell>
        </row>
        <row r="321">
          <cell r="G321" t="str">
            <v/>
          </cell>
          <cell r="H321" t="str">
            <v/>
          </cell>
          <cell r="I321" t="str">
            <v/>
          </cell>
        </row>
        <row r="322">
          <cell r="G322" t="str">
            <v/>
          </cell>
          <cell r="H322" t="str">
            <v/>
          </cell>
          <cell r="I322" t="str">
            <v/>
          </cell>
        </row>
        <row r="323">
          <cell r="G323" t="str">
            <v/>
          </cell>
          <cell r="H323" t="str">
            <v/>
          </cell>
          <cell r="I323" t="str">
            <v/>
          </cell>
        </row>
        <row r="324">
          <cell r="G324" t="str">
            <v/>
          </cell>
          <cell r="H324" t="str">
            <v/>
          </cell>
          <cell r="I324" t="str">
            <v/>
          </cell>
        </row>
        <row r="325">
          <cell r="G325" t="str">
            <v/>
          </cell>
          <cell r="H325" t="str">
            <v/>
          </cell>
          <cell r="I325" t="str">
            <v/>
          </cell>
        </row>
        <row r="326">
          <cell r="G326" t="str">
            <v/>
          </cell>
          <cell r="H326" t="str">
            <v/>
          </cell>
          <cell r="I326" t="str">
            <v/>
          </cell>
        </row>
        <row r="327">
          <cell r="G327" t="str">
            <v/>
          </cell>
          <cell r="H327" t="str">
            <v/>
          </cell>
          <cell r="I327" t="str">
            <v/>
          </cell>
        </row>
        <row r="328">
          <cell r="G328" t="str">
            <v/>
          </cell>
          <cell r="H328" t="str">
            <v/>
          </cell>
          <cell r="I328" t="str">
            <v/>
          </cell>
        </row>
        <row r="329">
          <cell r="G329" t="str">
            <v/>
          </cell>
          <cell r="H329" t="str">
            <v/>
          </cell>
          <cell r="I329" t="str">
            <v/>
          </cell>
        </row>
        <row r="330">
          <cell r="G330" t="str">
            <v/>
          </cell>
          <cell r="H330" t="str">
            <v/>
          </cell>
          <cell r="I330" t="str">
            <v/>
          </cell>
        </row>
        <row r="331">
          <cell r="G331" t="str">
            <v/>
          </cell>
          <cell r="H331" t="str">
            <v/>
          </cell>
          <cell r="I331" t="str">
            <v/>
          </cell>
        </row>
        <row r="332">
          <cell r="G332" t="str">
            <v/>
          </cell>
          <cell r="H332" t="str">
            <v/>
          </cell>
          <cell r="I332" t="str">
            <v/>
          </cell>
        </row>
        <row r="333">
          <cell r="G333" t="str">
            <v/>
          </cell>
          <cell r="H333" t="str">
            <v/>
          </cell>
          <cell r="I333" t="str">
            <v/>
          </cell>
        </row>
        <row r="334">
          <cell r="G334" t="str">
            <v/>
          </cell>
          <cell r="H334" t="str">
            <v/>
          </cell>
          <cell r="I334" t="str">
            <v/>
          </cell>
        </row>
        <row r="335">
          <cell r="G335" t="str">
            <v/>
          </cell>
          <cell r="H335" t="str">
            <v/>
          </cell>
          <cell r="I335" t="str">
            <v/>
          </cell>
        </row>
        <row r="336">
          <cell r="G336" t="str">
            <v/>
          </cell>
          <cell r="H336" t="str">
            <v/>
          </cell>
          <cell r="I336" t="str">
            <v/>
          </cell>
        </row>
        <row r="337">
          <cell r="G337" t="str">
            <v/>
          </cell>
          <cell r="H337" t="str">
            <v/>
          </cell>
          <cell r="I337" t="str">
            <v/>
          </cell>
        </row>
        <row r="338">
          <cell r="G338" t="str">
            <v/>
          </cell>
          <cell r="H338" t="str">
            <v/>
          </cell>
          <cell r="I338" t="str">
            <v/>
          </cell>
        </row>
        <row r="339">
          <cell r="G339" t="str">
            <v/>
          </cell>
          <cell r="H339" t="str">
            <v/>
          </cell>
          <cell r="I339" t="str">
            <v/>
          </cell>
        </row>
        <row r="340">
          <cell r="G340" t="str">
            <v/>
          </cell>
          <cell r="H340" t="str">
            <v/>
          </cell>
          <cell r="I340" t="str">
            <v/>
          </cell>
        </row>
        <row r="341">
          <cell r="G341" t="str">
            <v/>
          </cell>
          <cell r="H341" t="str">
            <v/>
          </cell>
          <cell r="I341" t="str">
            <v/>
          </cell>
        </row>
        <row r="342">
          <cell r="G342" t="str">
            <v/>
          </cell>
          <cell r="H342" t="str">
            <v/>
          </cell>
          <cell r="I342" t="str">
            <v/>
          </cell>
        </row>
        <row r="343">
          <cell r="G343" t="str">
            <v/>
          </cell>
          <cell r="H343" t="str">
            <v/>
          </cell>
          <cell r="I343" t="str">
            <v/>
          </cell>
        </row>
        <row r="344">
          <cell r="G344" t="str">
            <v/>
          </cell>
          <cell r="H344" t="str">
            <v/>
          </cell>
          <cell r="I344" t="str">
            <v/>
          </cell>
        </row>
        <row r="345">
          <cell r="G345" t="str">
            <v/>
          </cell>
          <cell r="H345" t="str">
            <v/>
          </cell>
          <cell r="I345" t="str">
            <v/>
          </cell>
        </row>
        <row r="346">
          <cell r="G346" t="str">
            <v/>
          </cell>
          <cell r="H346" t="str">
            <v/>
          </cell>
          <cell r="I346" t="str">
            <v/>
          </cell>
        </row>
        <row r="347">
          <cell r="G347" t="str">
            <v/>
          </cell>
          <cell r="H347" t="str">
            <v/>
          </cell>
          <cell r="I347" t="str">
            <v/>
          </cell>
        </row>
        <row r="348">
          <cell r="G348" t="str">
            <v/>
          </cell>
          <cell r="H348" t="str">
            <v/>
          </cell>
          <cell r="I348" t="str">
            <v/>
          </cell>
        </row>
        <row r="349">
          <cell r="G349" t="str">
            <v/>
          </cell>
          <cell r="H349" t="str">
            <v/>
          </cell>
          <cell r="I349" t="str">
            <v/>
          </cell>
        </row>
        <row r="350">
          <cell r="G350" t="str">
            <v/>
          </cell>
          <cell r="H350" t="str">
            <v/>
          </cell>
          <cell r="I350" t="str">
            <v/>
          </cell>
        </row>
        <row r="351">
          <cell r="G351" t="str">
            <v/>
          </cell>
          <cell r="H351" t="str">
            <v/>
          </cell>
          <cell r="I351" t="str">
            <v/>
          </cell>
        </row>
        <row r="352">
          <cell r="G352" t="str">
            <v/>
          </cell>
          <cell r="H352" t="str">
            <v/>
          </cell>
          <cell r="I352" t="str">
            <v/>
          </cell>
        </row>
        <row r="353">
          <cell r="G353" t="str">
            <v/>
          </cell>
          <cell r="H353" t="str">
            <v/>
          </cell>
          <cell r="I353" t="str">
            <v/>
          </cell>
        </row>
        <row r="354">
          <cell r="G354" t="str">
            <v/>
          </cell>
          <cell r="H354" t="str">
            <v/>
          </cell>
          <cell r="I354" t="str">
            <v/>
          </cell>
        </row>
        <row r="355">
          <cell r="G355" t="str">
            <v/>
          </cell>
          <cell r="H355" t="str">
            <v/>
          </cell>
          <cell r="I355" t="str">
            <v/>
          </cell>
        </row>
        <row r="356">
          <cell r="G356" t="str">
            <v/>
          </cell>
          <cell r="H356" t="str">
            <v/>
          </cell>
          <cell r="I356" t="str">
            <v/>
          </cell>
        </row>
        <row r="357">
          <cell r="G357" t="str">
            <v/>
          </cell>
          <cell r="H357" t="str">
            <v/>
          </cell>
          <cell r="I357" t="str">
            <v/>
          </cell>
        </row>
        <row r="358">
          <cell r="G358" t="str">
            <v/>
          </cell>
          <cell r="H358" t="str">
            <v/>
          </cell>
          <cell r="I358" t="str">
            <v/>
          </cell>
        </row>
        <row r="359">
          <cell r="G359" t="str">
            <v/>
          </cell>
          <cell r="H359" t="str">
            <v/>
          </cell>
          <cell r="I359" t="str">
            <v/>
          </cell>
        </row>
        <row r="360">
          <cell r="G360" t="str">
            <v/>
          </cell>
          <cell r="H360" t="str">
            <v/>
          </cell>
          <cell r="I360" t="str">
            <v/>
          </cell>
        </row>
        <row r="361">
          <cell r="G361" t="str">
            <v/>
          </cell>
          <cell r="H361" t="str">
            <v/>
          </cell>
          <cell r="I361" t="str">
            <v/>
          </cell>
        </row>
        <row r="362">
          <cell r="G362" t="str">
            <v/>
          </cell>
          <cell r="H362" t="str">
            <v/>
          </cell>
          <cell r="I362" t="str">
            <v/>
          </cell>
        </row>
        <row r="363">
          <cell r="G363" t="str">
            <v/>
          </cell>
          <cell r="H363" t="str">
            <v/>
          </cell>
          <cell r="I363" t="str">
            <v/>
          </cell>
        </row>
        <row r="364">
          <cell r="G364" t="str">
            <v/>
          </cell>
          <cell r="H364" t="str">
            <v/>
          </cell>
          <cell r="I364" t="str">
            <v/>
          </cell>
        </row>
        <row r="365">
          <cell r="G365" t="str">
            <v/>
          </cell>
          <cell r="H365" t="str">
            <v/>
          </cell>
          <cell r="I365" t="str">
            <v/>
          </cell>
        </row>
        <row r="366">
          <cell r="G366" t="str">
            <v/>
          </cell>
          <cell r="H366" t="str">
            <v/>
          </cell>
          <cell r="I366" t="str">
            <v/>
          </cell>
        </row>
        <row r="367">
          <cell r="G367" t="str">
            <v/>
          </cell>
          <cell r="H367" t="str">
            <v/>
          </cell>
          <cell r="I367" t="str">
            <v/>
          </cell>
        </row>
        <row r="368">
          <cell r="G368" t="str">
            <v/>
          </cell>
          <cell r="H368" t="str">
            <v/>
          </cell>
          <cell r="I368" t="str">
            <v/>
          </cell>
        </row>
        <row r="369">
          <cell r="G369" t="str">
            <v/>
          </cell>
          <cell r="H369" t="str">
            <v/>
          </cell>
          <cell r="I369" t="str">
            <v/>
          </cell>
        </row>
        <row r="370">
          <cell r="G370" t="str">
            <v/>
          </cell>
          <cell r="H370" t="str">
            <v/>
          </cell>
          <cell r="I370" t="str">
            <v/>
          </cell>
        </row>
        <row r="371">
          <cell r="G371" t="str">
            <v/>
          </cell>
          <cell r="H371" t="str">
            <v/>
          </cell>
          <cell r="I371" t="str">
            <v/>
          </cell>
        </row>
        <row r="372">
          <cell r="G372" t="str">
            <v/>
          </cell>
          <cell r="H372" t="str">
            <v/>
          </cell>
          <cell r="I372" t="str">
            <v/>
          </cell>
        </row>
        <row r="373">
          <cell r="G373" t="str">
            <v/>
          </cell>
          <cell r="H373" t="str">
            <v/>
          </cell>
          <cell r="I373" t="str">
            <v/>
          </cell>
        </row>
        <row r="374">
          <cell r="G374" t="str">
            <v/>
          </cell>
          <cell r="H374" t="str">
            <v/>
          </cell>
          <cell r="I374" t="str">
            <v/>
          </cell>
        </row>
        <row r="375">
          <cell r="G375" t="str">
            <v/>
          </cell>
          <cell r="H375" t="str">
            <v/>
          </cell>
          <cell r="I375" t="str">
            <v/>
          </cell>
        </row>
        <row r="376">
          <cell r="G376" t="str">
            <v/>
          </cell>
          <cell r="H376" t="str">
            <v/>
          </cell>
          <cell r="I376" t="str">
            <v/>
          </cell>
        </row>
        <row r="377">
          <cell r="G377" t="str">
            <v/>
          </cell>
          <cell r="H377" t="str">
            <v/>
          </cell>
          <cell r="I377" t="str">
            <v/>
          </cell>
        </row>
        <row r="378">
          <cell r="G378" t="str">
            <v/>
          </cell>
          <cell r="H378" t="str">
            <v/>
          </cell>
          <cell r="I378" t="str">
            <v/>
          </cell>
        </row>
        <row r="379">
          <cell r="G379" t="str">
            <v/>
          </cell>
          <cell r="H379" t="str">
            <v/>
          </cell>
          <cell r="I379" t="str">
            <v/>
          </cell>
        </row>
        <row r="380">
          <cell r="G380" t="str">
            <v/>
          </cell>
          <cell r="H380" t="str">
            <v/>
          </cell>
          <cell r="I380" t="str">
            <v/>
          </cell>
        </row>
        <row r="381">
          <cell r="G381" t="str">
            <v/>
          </cell>
          <cell r="H381" t="str">
            <v/>
          </cell>
          <cell r="I381" t="str">
            <v/>
          </cell>
        </row>
        <row r="382">
          <cell r="G382" t="str">
            <v/>
          </cell>
          <cell r="H382" t="str">
            <v/>
          </cell>
          <cell r="I382" t="str">
            <v/>
          </cell>
        </row>
        <row r="383">
          <cell r="G383" t="str">
            <v/>
          </cell>
          <cell r="H383" t="str">
            <v/>
          </cell>
          <cell r="I383" t="str">
            <v/>
          </cell>
        </row>
        <row r="384">
          <cell r="G384" t="str">
            <v/>
          </cell>
          <cell r="H384" t="str">
            <v/>
          </cell>
          <cell r="I384" t="str">
            <v/>
          </cell>
        </row>
        <row r="385">
          <cell r="G385" t="str">
            <v/>
          </cell>
          <cell r="H385" t="str">
            <v/>
          </cell>
          <cell r="I385" t="str">
            <v/>
          </cell>
        </row>
        <row r="386">
          <cell r="G386" t="str">
            <v/>
          </cell>
          <cell r="H386" t="str">
            <v/>
          </cell>
          <cell r="I386" t="str">
            <v/>
          </cell>
        </row>
        <row r="387">
          <cell r="G387" t="str">
            <v/>
          </cell>
          <cell r="H387" t="str">
            <v/>
          </cell>
          <cell r="I387" t="str">
            <v/>
          </cell>
        </row>
        <row r="388">
          <cell r="G388" t="str">
            <v/>
          </cell>
          <cell r="H388" t="str">
            <v/>
          </cell>
          <cell r="I388" t="str">
            <v/>
          </cell>
        </row>
        <row r="389">
          <cell r="G389" t="str">
            <v/>
          </cell>
          <cell r="H389" t="str">
            <v/>
          </cell>
          <cell r="I389" t="str">
            <v/>
          </cell>
        </row>
        <row r="390">
          <cell r="G390" t="str">
            <v/>
          </cell>
          <cell r="H390" t="str">
            <v/>
          </cell>
          <cell r="I390" t="str">
            <v/>
          </cell>
        </row>
        <row r="391">
          <cell r="G391" t="str">
            <v/>
          </cell>
          <cell r="H391" t="str">
            <v/>
          </cell>
          <cell r="I391" t="str">
            <v/>
          </cell>
        </row>
        <row r="392">
          <cell r="G392" t="str">
            <v/>
          </cell>
          <cell r="H392" t="str">
            <v/>
          </cell>
          <cell r="I392" t="str">
            <v/>
          </cell>
        </row>
        <row r="393">
          <cell r="G393" t="str">
            <v/>
          </cell>
          <cell r="H393" t="str">
            <v/>
          </cell>
          <cell r="I393" t="str">
            <v/>
          </cell>
        </row>
        <row r="394">
          <cell r="G394" t="str">
            <v/>
          </cell>
          <cell r="H394" t="str">
            <v/>
          </cell>
          <cell r="I394" t="str">
            <v/>
          </cell>
        </row>
        <row r="395">
          <cell r="G395" t="str">
            <v/>
          </cell>
          <cell r="H395" t="str">
            <v/>
          </cell>
          <cell r="I395" t="str">
            <v/>
          </cell>
        </row>
        <row r="396">
          <cell r="G396" t="str">
            <v/>
          </cell>
          <cell r="H396" t="str">
            <v/>
          </cell>
          <cell r="I396" t="str">
            <v/>
          </cell>
        </row>
        <row r="397">
          <cell r="G397" t="str">
            <v/>
          </cell>
          <cell r="H397" t="str">
            <v/>
          </cell>
          <cell r="I397" t="str">
            <v/>
          </cell>
        </row>
        <row r="398">
          <cell r="G398" t="str">
            <v/>
          </cell>
          <cell r="H398" t="str">
            <v/>
          </cell>
          <cell r="I398" t="str">
            <v/>
          </cell>
        </row>
        <row r="399">
          <cell r="G399" t="str">
            <v/>
          </cell>
          <cell r="H399" t="str">
            <v/>
          </cell>
          <cell r="I399" t="str">
            <v/>
          </cell>
        </row>
        <row r="400">
          <cell r="G400" t="str">
            <v/>
          </cell>
          <cell r="H400" t="str">
            <v/>
          </cell>
          <cell r="I400" t="str">
            <v/>
          </cell>
        </row>
        <row r="401">
          <cell r="G401" t="str">
            <v/>
          </cell>
          <cell r="H401" t="str">
            <v/>
          </cell>
          <cell r="I401" t="str">
            <v/>
          </cell>
        </row>
        <row r="402">
          <cell r="G402" t="str">
            <v/>
          </cell>
          <cell r="H402" t="str">
            <v/>
          </cell>
          <cell r="I402" t="str">
            <v/>
          </cell>
        </row>
        <row r="403">
          <cell r="G403" t="str">
            <v/>
          </cell>
          <cell r="H403" t="str">
            <v/>
          </cell>
          <cell r="I403" t="str">
            <v/>
          </cell>
        </row>
        <row r="404">
          <cell r="G404" t="str">
            <v/>
          </cell>
          <cell r="H404" t="str">
            <v/>
          </cell>
          <cell r="I404" t="str">
            <v/>
          </cell>
        </row>
        <row r="405">
          <cell r="G405" t="str">
            <v/>
          </cell>
          <cell r="H405" t="str">
            <v/>
          </cell>
          <cell r="I405" t="str">
            <v/>
          </cell>
        </row>
        <row r="406">
          <cell r="G406" t="str">
            <v/>
          </cell>
          <cell r="H406" t="str">
            <v/>
          </cell>
          <cell r="I406" t="str">
            <v/>
          </cell>
        </row>
        <row r="407">
          <cell r="G407" t="str">
            <v/>
          </cell>
          <cell r="H407" t="str">
            <v/>
          </cell>
          <cell r="I407" t="str">
            <v/>
          </cell>
        </row>
        <row r="408">
          <cell r="G408" t="str">
            <v/>
          </cell>
          <cell r="H408" t="str">
            <v/>
          </cell>
          <cell r="I408" t="str">
            <v/>
          </cell>
        </row>
        <row r="409">
          <cell r="G409" t="str">
            <v/>
          </cell>
          <cell r="H409" t="str">
            <v/>
          </cell>
          <cell r="I409" t="str">
            <v/>
          </cell>
        </row>
        <row r="410">
          <cell r="G410" t="str">
            <v/>
          </cell>
          <cell r="H410" t="str">
            <v/>
          </cell>
          <cell r="I410" t="str">
            <v/>
          </cell>
        </row>
        <row r="411">
          <cell r="G411" t="str">
            <v/>
          </cell>
          <cell r="H411" t="str">
            <v/>
          </cell>
          <cell r="I411" t="str">
            <v/>
          </cell>
        </row>
        <row r="412">
          <cell r="G412" t="str">
            <v/>
          </cell>
          <cell r="H412" t="str">
            <v/>
          </cell>
          <cell r="I412" t="str">
            <v/>
          </cell>
        </row>
        <row r="413">
          <cell r="G413" t="str">
            <v/>
          </cell>
          <cell r="H413" t="str">
            <v/>
          </cell>
          <cell r="I413" t="str">
            <v/>
          </cell>
        </row>
        <row r="414">
          <cell r="G414" t="str">
            <v/>
          </cell>
          <cell r="H414" t="str">
            <v/>
          </cell>
          <cell r="I414" t="str">
            <v/>
          </cell>
        </row>
        <row r="415">
          <cell r="G415" t="str">
            <v/>
          </cell>
          <cell r="H415" t="str">
            <v/>
          </cell>
          <cell r="I415" t="str">
            <v/>
          </cell>
        </row>
        <row r="416">
          <cell r="G416" t="str">
            <v/>
          </cell>
          <cell r="H416" t="str">
            <v/>
          </cell>
          <cell r="I416" t="str">
            <v/>
          </cell>
        </row>
        <row r="417">
          <cell r="G417" t="str">
            <v/>
          </cell>
          <cell r="H417" t="str">
            <v/>
          </cell>
          <cell r="I417" t="str">
            <v/>
          </cell>
        </row>
        <row r="418">
          <cell r="G418" t="str">
            <v/>
          </cell>
          <cell r="H418" t="str">
            <v/>
          </cell>
          <cell r="I418" t="str">
            <v/>
          </cell>
        </row>
        <row r="419">
          <cell r="G419" t="str">
            <v/>
          </cell>
          <cell r="H419" t="str">
            <v/>
          </cell>
          <cell r="I419" t="str">
            <v/>
          </cell>
        </row>
        <row r="420">
          <cell r="G420" t="str">
            <v/>
          </cell>
          <cell r="H420" t="str">
            <v/>
          </cell>
          <cell r="I420" t="str">
            <v/>
          </cell>
        </row>
        <row r="421">
          <cell r="G421" t="str">
            <v/>
          </cell>
          <cell r="H421" t="str">
            <v/>
          </cell>
          <cell r="I421" t="str">
            <v/>
          </cell>
        </row>
        <row r="422">
          <cell r="G422" t="str">
            <v/>
          </cell>
          <cell r="H422" t="str">
            <v/>
          </cell>
          <cell r="I422" t="str">
            <v/>
          </cell>
        </row>
        <row r="423">
          <cell r="G423" t="str">
            <v/>
          </cell>
          <cell r="H423" t="str">
            <v/>
          </cell>
          <cell r="I423" t="str">
            <v/>
          </cell>
        </row>
        <row r="424">
          <cell r="G424" t="str">
            <v/>
          </cell>
          <cell r="H424" t="str">
            <v/>
          </cell>
          <cell r="I424" t="str">
            <v/>
          </cell>
        </row>
        <row r="425">
          <cell r="G425" t="str">
            <v/>
          </cell>
          <cell r="H425" t="str">
            <v/>
          </cell>
          <cell r="I425" t="str">
            <v/>
          </cell>
        </row>
        <row r="426">
          <cell r="G426" t="str">
            <v/>
          </cell>
          <cell r="H426" t="str">
            <v/>
          </cell>
          <cell r="I426" t="str">
            <v/>
          </cell>
        </row>
        <row r="427">
          <cell r="G427" t="str">
            <v/>
          </cell>
          <cell r="H427" t="str">
            <v/>
          </cell>
          <cell r="I427" t="str">
            <v/>
          </cell>
        </row>
        <row r="428">
          <cell r="G428" t="str">
            <v/>
          </cell>
          <cell r="H428" t="str">
            <v/>
          </cell>
          <cell r="I428" t="str">
            <v/>
          </cell>
        </row>
        <row r="429">
          <cell r="G429" t="str">
            <v/>
          </cell>
          <cell r="H429" t="str">
            <v/>
          </cell>
          <cell r="I429" t="str">
            <v/>
          </cell>
        </row>
        <row r="430">
          <cell r="G430" t="str">
            <v/>
          </cell>
          <cell r="H430" t="str">
            <v/>
          </cell>
          <cell r="I430" t="str">
            <v/>
          </cell>
        </row>
        <row r="431">
          <cell r="G431" t="str">
            <v/>
          </cell>
          <cell r="H431" t="str">
            <v/>
          </cell>
          <cell r="I431" t="str">
            <v/>
          </cell>
        </row>
        <row r="432">
          <cell r="G432" t="str">
            <v/>
          </cell>
          <cell r="H432" t="str">
            <v/>
          </cell>
          <cell r="I432" t="str">
            <v/>
          </cell>
        </row>
        <row r="433">
          <cell r="G433" t="str">
            <v/>
          </cell>
          <cell r="H433" t="str">
            <v/>
          </cell>
          <cell r="I433" t="str">
            <v/>
          </cell>
        </row>
        <row r="434">
          <cell r="G434" t="str">
            <v/>
          </cell>
          <cell r="H434" t="str">
            <v/>
          </cell>
          <cell r="I434" t="str">
            <v/>
          </cell>
        </row>
        <row r="435">
          <cell r="G435" t="str">
            <v/>
          </cell>
          <cell r="H435" t="str">
            <v/>
          </cell>
          <cell r="I435" t="str">
            <v/>
          </cell>
        </row>
        <row r="436">
          <cell r="G436" t="str">
            <v/>
          </cell>
          <cell r="H436" t="str">
            <v/>
          </cell>
          <cell r="I436" t="str">
            <v/>
          </cell>
        </row>
        <row r="437">
          <cell r="G437" t="str">
            <v/>
          </cell>
          <cell r="H437" t="str">
            <v/>
          </cell>
          <cell r="I437" t="str">
            <v/>
          </cell>
        </row>
        <row r="438">
          <cell r="G438" t="str">
            <v/>
          </cell>
          <cell r="H438" t="str">
            <v/>
          </cell>
          <cell r="I438" t="str">
            <v/>
          </cell>
        </row>
        <row r="439">
          <cell r="G439" t="str">
            <v/>
          </cell>
          <cell r="H439" t="str">
            <v/>
          </cell>
          <cell r="I439" t="str">
            <v/>
          </cell>
        </row>
        <row r="440">
          <cell r="G440" t="str">
            <v/>
          </cell>
          <cell r="H440" t="str">
            <v/>
          </cell>
          <cell r="I440" t="str">
            <v/>
          </cell>
        </row>
        <row r="441">
          <cell r="G441" t="str">
            <v/>
          </cell>
          <cell r="H441" t="str">
            <v/>
          </cell>
          <cell r="I441" t="str">
            <v/>
          </cell>
        </row>
        <row r="442">
          <cell r="G442" t="str">
            <v/>
          </cell>
          <cell r="H442" t="str">
            <v/>
          </cell>
          <cell r="I442" t="str">
            <v/>
          </cell>
        </row>
        <row r="443">
          <cell r="G443" t="str">
            <v/>
          </cell>
          <cell r="H443" t="str">
            <v/>
          </cell>
          <cell r="I443" t="str">
            <v/>
          </cell>
        </row>
        <row r="444">
          <cell r="G444" t="str">
            <v/>
          </cell>
          <cell r="H444" t="str">
            <v/>
          </cell>
          <cell r="I444" t="str">
            <v/>
          </cell>
        </row>
        <row r="445">
          <cell r="G445" t="str">
            <v/>
          </cell>
          <cell r="H445" t="str">
            <v/>
          </cell>
          <cell r="I445" t="str">
            <v/>
          </cell>
        </row>
        <row r="446">
          <cell r="G446" t="str">
            <v/>
          </cell>
          <cell r="H446" t="str">
            <v/>
          </cell>
          <cell r="I446" t="str">
            <v/>
          </cell>
        </row>
        <row r="447">
          <cell r="G447" t="str">
            <v/>
          </cell>
          <cell r="H447" t="str">
            <v/>
          </cell>
          <cell r="I447" t="str">
            <v/>
          </cell>
        </row>
        <row r="448">
          <cell r="G448" t="str">
            <v/>
          </cell>
          <cell r="H448" t="str">
            <v/>
          </cell>
          <cell r="I448" t="str">
            <v/>
          </cell>
        </row>
        <row r="449">
          <cell r="G449" t="str">
            <v/>
          </cell>
          <cell r="H449" t="str">
            <v/>
          </cell>
          <cell r="I449" t="str">
            <v/>
          </cell>
        </row>
        <row r="450">
          <cell r="G450" t="str">
            <v/>
          </cell>
          <cell r="H450" t="str">
            <v/>
          </cell>
          <cell r="I450" t="str">
            <v/>
          </cell>
        </row>
        <row r="451">
          <cell r="G451" t="str">
            <v/>
          </cell>
          <cell r="H451" t="str">
            <v/>
          </cell>
          <cell r="I451" t="str">
            <v/>
          </cell>
        </row>
        <row r="452">
          <cell r="G452" t="str">
            <v/>
          </cell>
          <cell r="H452" t="str">
            <v/>
          </cell>
          <cell r="I452" t="str">
            <v/>
          </cell>
        </row>
        <row r="453">
          <cell r="G453" t="str">
            <v/>
          </cell>
          <cell r="H453" t="str">
            <v/>
          </cell>
          <cell r="I453" t="str">
            <v/>
          </cell>
        </row>
        <row r="454">
          <cell r="G454" t="str">
            <v/>
          </cell>
          <cell r="H454" t="str">
            <v/>
          </cell>
          <cell r="I454" t="str">
            <v/>
          </cell>
        </row>
        <row r="455">
          <cell r="G455" t="str">
            <v/>
          </cell>
          <cell r="H455" t="str">
            <v/>
          </cell>
          <cell r="I455" t="str">
            <v/>
          </cell>
        </row>
        <row r="456">
          <cell r="G456" t="str">
            <v/>
          </cell>
          <cell r="H456" t="str">
            <v/>
          </cell>
          <cell r="I456" t="str">
            <v/>
          </cell>
        </row>
        <row r="457">
          <cell r="G457" t="str">
            <v/>
          </cell>
          <cell r="H457" t="str">
            <v/>
          </cell>
          <cell r="I457" t="str">
            <v/>
          </cell>
        </row>
        <row r="458">
          <cell r="G458" t="str">
            <v/>
          </cell>
          <cell r="H458" t="str">
            <v/>
          </cell>
          <cell r="I458" t="str">
            <v/>
          </cell>
        </row>
        <row r="459">
          <cell r="G459" t="str">
            <v/>
          </cell>
          <cell r="H459" t="str">
            <v/>
          </cell>
          <cell r="I459" t="str">
            <v/>
          </cell>
        </row>
        <row r="460">
          <cell r="G460" t="str">
            <v/>
          </cell>
          <cell r="H460" t="str">
            <v/>
          </cell>
          <cell r="I460" t="str">
            <v/>
          </cell>
        </row>
        <row r="461">
          <cell r="G461" t="str">
            <v/>
          </cell>
          <cell r="H461" t="str">
            <v/>
          </cell>
          <cell r="I461" t="str">
            <v/>
          </cell>
        </row>
        <row r="462">
          <cell r="G462" t="str">
            <v/>
          </cell>
          <cell r="H462" t="str">
            <v/>
          </cell>
          <cell r="I462" t="str">
            <v/>
          </cell>
        </row>
        <row r="463">
          <cell r="G463" t="str">
            <v/>
          </cell>
          <cell r="H463" t="str">
            <v/>
          </cell>
          <cell r="I463" t="str">
            <v/>
          </cell>
        </row>
        <row r="464">
          <cell r="G464" t="str">
            <v/>
          </cell>
          <cell r="H464" t="str">
            <v/>
          </cell>
          <cell r="I464" t="str">
            <v/>
          </cell>
        </row>
        <row r="465">
          <cell r="G465" t="str">
            <v/>
          </cell>
          <cell r="H465" t="str">
            <v/>
          </cell>
          <cell r="I465" t="str">
            <v/>
          </cell>
        </row>
        <row r="466">
          <cell r="G466" t="str">
            <v/>
          </cell>
          <cell r="H466" t="str">
            <v/>
          </cell>
          <cell r="I466" t="str">
            <v/>
          </cell>
        </row>
        <row r="467">
          <cell r="G467" t="str">
            <v/>
          </cell>
          <cell r="H467" t="str">
            <v/>
          </cell>
          <cell r="I467" t="str">
            <v/>
          </cell>
        </row>
        <row r="468">
          <cell r="G468" t="str">
            <v/>
          </cell>
          <cell r="H468" t="str">
            <v/>
          </cell>
          <cell r="I468" t="str">
            <v/>
          </cell>
        </row>
        <row r="469">
          <cell r="G469" t="str">
            <v/>
          </cell>
          <cell r="H469" t="str">
            <v/>
          </cell>
          <cell r="I469" t="str">
            <v/>
          </cell>
        </row>
        <row r="470">
          <cell r="G470" t="str">
            <v/>
          </cell>
          <cell r="H470" t="str">
            <v/>
          </cell>
          <cell r="I470" t="str">
            <v/>
          </cell>
        </row>
        <row r="471">
          <cell r="G471" t="str">
            <v/>
          </cell>
          <cell r="H471" t="str">
            <v/>
          </cell>
          <cell r="I471" t="str">
            <v/>
          </cell>
        </row>
        <row r="472">
          <cell r="G472" t="str">
            <v/>
          </cell>
          <cell r="H472" t="str">
            <v/>
          </cell>
          <cell r="I472" t="str">
            <v/>
          </cell>
        </row>
        <row r="473">
          <cell r="G473" t="str">
            <v/>
          </cell>
          <cell r="H473" t="str">
            <v/>
          </cell>
          <cell r="I473" t="str">
            <v/>
          </cell>
        </row>
        <row r="474">
          <cell r="G474" t="str">
            <v/>
          </cell>
          <cell r="H474" t="str">
            <v/>
          </cell>
          <cell r="I474" t="str">
            <v/>
          </cell>
        </row>
        <row r="475">
          <cell r="G475" t="str">
            <v/>
          </cell>
          <cell r="H475" t="str">
            <v/>
          </cell>
          <cell r="I475" t="str">
            <v/>
          </cell>
        </row>
        <row r="476">
          <cell r="G476" t="str">
            <v/>
          </cell>
          <cell r="H476" t="str">
            <v/>
          </cell>
          <cell r="I476" t="str">
            <v/>
          </cell>
        </row>
        <row r="477">
          <cell r="G477" t="str">
            <v/>
          </cell>
          <cell r="H477" t="str">
            <v/>
          </cell>
          <cell r="I477" t="str">
            <v/>
          </cell>
        </row>
        <row r="478">
          <cell r="G478" t="str">
            <v/>
          </cell>
          <cell r="H478" t="str">
            <v/>
          </cell>
          <cell r="I478" t="str">
            <v/>
          </cell>
        </row>
        <row r="479">
          <cell r="G479" t="str">
            <v/>
          </cell>
          <cell r="H479" t="str">
            <v/>
          </cell>
          <cell r="I479" t="str">
            <v/>
          </cell>
        </row>
        <row r="480">
          <cell r="G480" t="str">
            <v/>
          </cell>
          <cell r="H480" t="str">
            <v/>
          </cell>
          <cell r="I480" t="str">
            <v/>
          </cell>
        </row>
        <row r="481">
          <cell r="G481" t="str">
            <v/>
          </cell>
          <cell r="H481" t="str">
            <v/>
          </cell>
          <cell r="I481" t="str">
            <v/>
          </cell>
        </row>
        <row r="482">
          <cell r="G482" t="str">
            <v/>
          </cell>
          <cell r="H482" t="str">
            <v/>
          </cell>
          <cell r="I482" t="str">
            <v/>
          </cell>
        </row>
        <row r="483">
          <cell r="G483" t="str">
            <v/>
          </cell>
          <cell r="H483" t="str">
            <v/>
          </cell>
          <cell r="I483" t="str">
            <v/>
          </cell>
        </row>
        <row r="484">
          <cell r="G484" t="str">
            <v/>
          </cell>
          <cell r="H484" t="str">
            <v/>
          </cell>
          <cell r="I484" t="str">
            <v/>
          </cell>
        </row>
        <row r="485">
          <cell r="G485" t="str">
            <v/>
          </cell>
          <cell r="H485" t="str">
            <v/>
          </cell>
          <cell r="I485" t="str">
            <v/>
          </cell>
        </row>
        <row r="486">
          <cell r="G486" t="str">
            <v/>
          </cell>
          <cell r="H486" t="str">
            <v/>
          </cell>
          <cell r="I486" t="str">
            <v/>
          </cell>
        </row>
        <row r="487">
          <cell r="G487" t="str">
            <v/>
          </cell>
          <cell r="H487" t="str">
            <v/>
          </cell>
          <cell r="I487" t="str">
            <v/>
          </cell>
        </row>
        <row r="488">
          <cell r="G488" t="str">
            <v/>
          </cell>
          <cell r="H488" t="str">
            <v/>
          </cell>
          <cell r="I488" t="str">
            <v/>
          </cell>
        </row>
        <row r="489">
          <cell r="G489" t="str">
            <v/>
          </cell>
          <cell r="H489" t="str">
            <v/>
          </cell>
          <cell r="I489" t="str">
            <v/>
          </cell>
        </row>
        <row r="490">
          <cell r="G490" t="str">
            <v/>
          </cell>
          <cell r="H490" t="str">
            <v/>
          </cell>
          <cell r="I490" t="str">
            <v/>
          </cell>
        </row>
        <row r="491">
          <cell r="G491" t="str">
            <v/>
          </cell>
          <cell r="H491" t="str">
            <v/>
          </cell>
          <cell r="I491" t="str">
            <v/>
          </cell>
        </row>
        <row r="492">
          <cell r="G492" t="str">
            <v/>
          </cell>
          <cell r="H492" t="str">
            <v/>
          </cell>
          <cell r="I492" t="str">
            <v/>
          </cell>
        </row>
        <row r="493">
          <cell r="G493" t="str">
            <v/>
          </cell>
          <cell r="H493" t="str">
            <v/>
          </cell>
          <cell r="I493" t="str">
            <v/>
          </cell>
        </row>
        <row r="494">
          <cell r="G494" t="str">
            <v/>
          </cell>
          <cell r="H494" t="str">
            <v/>
          </cell>
          <cell r="I494" t="str">
            <v/>
          </cell>
        </row>
        <row r="495">
          <cell r="G495" t="str">
            <v/>
          </cell>
          <cell r="H495" t="str">
            <v/>
          </cell>
          <cell r="I495" t="str">
            <v/>
          </cell>
        </row>
        <row r="496">
          <cell r="G496" t="str">
            <v/>
          </cell>
          <cell r="H496" t="str">
            <v/>
          </cell>
          <cell r="I496" t="str">
            <v/>
          </cell>
        </row>
        <row r="497">
          <cell r="G497" t="str">
            <v/>
          </cell>
          <cell r="H497" t="str">
            <v/>
          </cell>
          <cell r="I497" t="str">
            <v/>
          </cell>
        </row>
        <row r="498">
          <cell r="G498" t="str">
            <v/>
          </cell>
          <cell r="H498" t="str">
            <v/>
          </cell>
          <cell r="I498" t="str">
            <v/>
          </cell>
        </row>
        <row r="499">
          <cell r="G499" t="str">
            <v/>
          </cell>
          <cell r="H499" t="str">
            <v/>
          </cell>
          <cell r="I49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DB80-1D2C-45C3-A7F3-426073D2B576}">
  <dimension ref="A1:E387"/>
  <sheetViews>
    <sheetView rightToLeft="1" tabSelected="1" topLeftCell="A365" workbookViewId="0">
      <selection activeCell="G5" sqref="G5"/>
    </sheetView>
  </sheetViews>
  <sheetFormatPr defaultRowHeight="14.5" x14ac:dyDescent="0.35"/>
  <cols>
    <col min="1" max="1" width="38.26953125" bestFit="1" customWidth="1"/>
    <col min="2" max="2" width="7.90625" bestFit="1" customWidth="1"/>
    <col min="3" max="3" width="13" bestFit="1" customWidth="1"/>
    <col min="4" max="4" width="10.08984375" bestFit="1" customWidth="1"/>
    <col min="5" max="5" width="6.81640625" bestFit="1" customWidth="1"/>
  </cols>
  <sheetData>
    <row r="1" spans="1:5" ht="15" thickBo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5" thickTop="1" x14ac:dyDescent="0.35">
      <c r="A2" s="3" t="s">
        <v>379</v>
      </c>
      <c r="B2" s="3" t="s">
        <v>380</v>
      </c>
      <c r="C2" s="4">
        <f>SUMIFS([1]العمليات!G:G, [1]العمليات!B:B, A2, [1]العمليات!C:C, "إدخال") - SUMIFS([1]العمليات!G:G, [1]العمليات!B:B, A2, [1]العمليات!C:C, "إخراج")</f>
        <v>0</v>
      </c>
      <c r="D2" s="3" t="str">
        <f>IF(A2="","",IFERROR(LOOKUP(2,1/(([1]العمليات!$B$2:$B$1000=A2)*([1]العمليات!$H$2:$H$1000&lt;&gt;"")),[1]العمليات!$H$2:$H$1000),""))</f>
        <v/>
      </c>
      <c r="E2" s="3" t="str">
        <f>IF(A2="","",IFERROR(LOOKUP(2,1/(([1]العمليات!$B$2:$B$1000=A2)*([1]العمليات!$I$2:$I$1000&lt;&gt;"")),[1]العمليات!$I$2:$I$1000),""))</f>
        <v/>
      </c>
    </row>
    <row r="3" spans="1:5" x14ac:dyDescent="0.35">
      <c r="A3" s="5" t="s">
        <v>381</v>
      </c>
      <c r="B3" s="5" t="s">
        <v>382</v>
      </c>
      <c r="C3" s="6">
        <f>SUMIFS([1]العمليات!G:G, [1]العمليات!B:B, A3, [1]العمليات!C:C, "إدخال") - SUMIFS([1]العمليات!G:G, [1]العمليات!B:B, A3, [1]العمليات!C:C, "إخراج")</f>
        <v>0</v>
      </c>
      <c r="D3" s="5" t="str">
        <f>IF(A3="","",IFERROR(LOOKUP(2,1/(([1]العمليات!$B$2:$B$1000=A3)*([1]العمليات!$H$2:$H$1000&lt;&gt;"")),[1]العمليات!$H$2:$H$1000),""))</f>
        <v/>
      </c>
      <c r="E3" s="5" t="str">
        <f>IF(A3="","",IFERROR(LOOKUP(2,1/(([1]العمليات!$B$2:$B$1000=A3)*([1]العمليات!$I$2:$I$1000&lt;&gt;"")),[1]العمليات!$I$2:$I$1000),""))</f>
        <v/>
      </c>
    </row>
    <row r="4" spans="1:5" x14ac:dyDescent="0.35">
      <c r="A4" s="3" t="s">
        <v>383</v>
      </c>
      <c r="B4" s="3" t="s">
        <v>384</v>
      </c>
      <c r="C4" s="4">
        <f>SUMIFS([1]العمليات!G:G, [1]العمليات!B:B, A4, [1]العمليات!C:C, "إدخال") - SUMIFS([1]العمليات!G:G, [1]العمليات!B:B, A4, [1]العمليات!C:C, "إخراج")</f>
        <v>0</v>
      </c>
      <c r="D4" s="3" t="str">
        <f>IF(A4="","",IFERROR(LOOKUP(2,1/(([1]العمليات!$B$2:$B$1000=A4)*([1]العمليات!$H$2:$H$1000&lt;&gt;"")),[1]العمليات!$H$2:$H$1000),""))</f>
        <v/>
      </c>
      <c r="E4" s="3" t="str">
        <f>IF(A4="","",IFERROR(LOOKUP(2,1/(([1]العمليات!$B$2:$B$1000=A4)*([1]العمليات!$I$2:$I$1000&lt;&gt;"")),[1]العمليات!$I$2:$I$1000),""))</f>
        <v/>
      </c>
    </row>
    <row r="5" spans="1:5" x14ac:dyDescent="0.35">
      <c r="A5" s="5" t="s">
        <v>5</v>
      </c>
      <c r="B5" s="5" t="s">
        <v>6</v>
      </c>
      <c r="C5" s="6">
        <f>SUMIFS([1]العمليات!G:G, [1]العمليات!B:B, A5, [1]العمليات!C:C, "إدخال") - SUMIFS([1]العمليات!G:G, [1]العمليات!B:B, A5, [1]العمليات!C:C, "إخراج")</f>
        <v>235</v>
      </c>
      <c r="D5" s="5">
        <f>IF(A5="","",IFERROR(LOOKUP(2,1/(([1]العمليات!$B$2:$B$1000=A5)*([1]العمليات!$H$2:$H$1000&lt;&gt;"")),[1]العمليات!$H$2:$H$1000),""))</f>
        <v>5</v>
      </c>
      <c r="E5" s="5">
        <f>IF(A5="","",IFERROR(LOOKUP(2,1/(([1]العمليات!$B$2:$B$1000=A5)*([1]العمليات!$I$2:$I$1000&lt;&gt;"")),[1]العمليات!$I$2:$I$1000),""))</f>
        <v>3</v>
      </c>
    </row>
    <row r="6" spans="1:5" x14ac:dyDescent="0.35">
      <c r="A6" s="3" t="s">
        <v>385</v>
      </c>
      <c r="B6" s="3" t="s">
        <v>386</v>
      </c>
      <c r="C6" s="4">
        <f>SUMIFS([1]العمليات!G:G, [1]العمليات!B:B, A6, [1]العمليات!C:C, "إدخال") - SUMIFS([1]العمليات!G:G, [1]العمليات!B:B, A6, [1]العمليات!C:C, "إخراج")</f>
        <v>0</v>
      </c>
      <c r="D6" s="3" t="str">
        <f>IF(A6="","",IFERROR(LOOKUP(2,1/(([1]العمليات!$B$2:$B$1000=A6)*([1]العمليات!$H$2:$H$1000&lt;&gt;"")),[1]العمليات!$H$2:$H$1000),""))</f>
        <v/>
      </c>
      <c r="E6" s="3" t="str">
        <f>IF(A6="","",IFERROR(LOOKUP(2,1/(([1]العمليات!$B$2:$B$1000=A6)*([1]العمليات!$I$2:$I$1000&lt;&gt;"")),[1]العمليات!$I$2:$I$1000),""))</f>
        <v/>
      </c>
    </row>
    <row r="7" spans="1:5" x14ac:dyDescent="0.35">
      <c r="A7" s="5" t="s">
        <v>387</v>
      </c>
      <c r="B7" s="5" t="s">
        <v>388</v>
      </c>
      <c r="C7" s="6">
        <f>SUMIFS([1]العمليات!G:G, [1]العمليات!B:B, A7, [1]العمليات!C:C, "إدخال") - SUMIFS([1]العمليات!G:G, [1]العمليات!B:B, A7, [1]العمليات!C:C, "إخراج")</f>
        <v>0</v>
      </c>
      <c r="D7" s="5" t="str">
        <f>IF(A7="","",IFERROR(LOOKUP(2,1/(([1]العمليات!$B$2:$B$1000=A7)*([1]العمليات!$H$2:$H$1000&lt;&gt;"")),[1]العمليات!$H$2:$H$1000),""))</f>
        <v/>
      </c>
      <c r="E7" s="5" t="str">
        <f>IF(A7="","",IFERROR(LOOKUP(2,1/(([1]العمليات!$B$2:$B$1000=A7)*([1]العمليات!$I$2:$I$1000&lt;&gt;"")),[1]العمليات!$I$2:$I$1000),""))</f>
        <v/>
      </c>
    </row>
    <row r="8" spans="1:5" x14ac:dyDescent="0.35">
      <c r="A8" s="3" t="s">
        <v>389</v>
      </c>
      <c r="B8" s="3" t="s">
        <v>390</v>
      </c>
      <c r="C8" s="4">
        <f>SUMIFS([1]العمليات!G:G, [1]العمليات!B:B, A8, [1]العمليات!C:C, "إدخال") - SUMIFS([1]العمليات!G:G, [1]العمليات!B:B, A8, [1]العمليات!C:C, "إخراج")</f>
        <v>0</v>
      </c>
      <c r="D8" s="3" t="str">
        <f>IF(A8="","",IFERROR(LOOKUP(2,1/(([1]العمليات!$B$2:$B$1000=A8)*([1]العمليات!$H$2:$H$1000&lt;&gt;"")),[1]العمليات!$H$2:$H$1000),""))</f>
        <v/>
      </c>
      <c r="E8" s="3" t="str">
        <f>IF(A8="","",IFERROR(LOOKUP(2,1/(([1]العمليات!$B$2:$B$1000=A8)*([1]العمليات!$I$2:$I$1000&lt;&gt;"")),[1]العمليات!$I$2:$I$1000),""))</f>
        <v/>
      </c>
    </row>
    <row r="9" spans="1:5" x14ac:dyDescent="0.35">
      <c r="A9" s="5" t="s">
        <v>7</v>
      </c>
      <c r="B9" s="5" t="s">
        <v>8</v>
      </c>
      <c r="C9" s="6">
        <f>SUMIFS([1]العمليات!G:G, [1]العمليات!B:B, A9, [1]العمليات!C:C, "إدخال") - SUMIFS([1]العمليات!G:G, [1]العمليات!B:B, A9, [1]العمليات!C:C, "إخراج")</f>
        <v>1217</v>
      </c>
      <c r="D9" s="5">
        <f>IF(A9="","",IFERROR(LOOKUP(2,1/(([1]العمليات!$B$2:$B$1000=A9)*([1]العمليات!$H$2:$H$1000&lt;&gt;"")),[1]العمليات!$H$2:$H$1000),""))</f>
        <v>3</v>
      </c>
      <c r="E9" s="5">
        <f>IF(A9="","",IFERROR(LOOKUP(2,1/(([1]العمليات!$B$2:$B$1000=A9)*([1]العمليات!$I$2:$I$1000&lt;&gt;"")),[1]العمليات!$I$2:$I$1000),""))</f>
        <v>2</v>
      </c>
    </row>
    <row r="10" spans="1:5" x14ac:dyDescent="0.35">
      <c r="A10" s="3" t="s">
        <v>9</v>
      </c>
      <c r="B10" s="3" t="s">
        <v>10</v>
      </c>
      <c r="C10" s="4">
        <f>SUMIFS([1]العمليات!G:G, [1]العمليات!B:B, A10, [1]العمليات!C:C, "إدخال") - SUMIFS([1]العمليات!G:G, [1]العمليات!B:B, A10, [1]العمليات!C:C, "إخراج")</f>
        <v>374</v>
      </c>
      <c r="D10" s="3">
        <f>IF(A10="","",IFERROR(LOOKUP(2,1/(([1]العمليات!$B$2:$B$1000=A10)*([1]العمليات!$H$2:$H$1000&lt;&gt;"")),[1]العمليات!$H$2:$H$1000),""))</f>
        <v>1</v>
      </c>
      <c r="E10" s="3">
        <f>IF(A10="","",IFERROR(LOOKUP(2,1/(([1]العمليات!$B$2:$B$1000=A10)*([1]العمليات!$I$2:$I$1000&lt;&gt;"")),[1]العمليات!$I$2:$I$1000),""))</f>
        <v>4</v>
      </c>
    </row>
    <row r="11" spans="1:5" x14ac:dyDescent="0.35">
      <c r="A11" s="5" t="s">
        <v>391</v>
      </c>
      <c r="B11" s="5" t="s">
        <v>392</v>
      </c>
      <c r="C11" s="6">
        <f>SUMIFS([1]العمليات!G:G, [1]العمليات!B:B, A11, [1]العمليات!C:C, "إدخال") - SUMIFS([1]العمليات!G:G, [1]العمليات!B:B, A11, [1]العمليات!C:C, "إخراج")</f>
        <v>0</v>
      </c>
      <c r="D11" s="5" t="str">
        <f>IF(A11="","",IFERROR(LOOKUP(2,1/(([1]العمليات!$B$2:$B$1000=A11)*([1]العمليات!$H$2:$H$1000&lt;&gt;"")),[1]العمليات!$H$2:$H$1000),""))</f>
        <v/>
      </c>
      <c r="E11" s="5" t="str">
        <f>IF(A11="","",IFERROR(LOOKUP(2,1/(([1]العمليات!$B$2:$B$1000=A11)*([1]العمليات!$I$2:$I$1000&lt;&gt;"")),[1]العمليات!$I$2:$I$1000),""))</f>
        <v/>
      </c>
    </row>
    <row r="12" spans="1:5" x14ac:dyDescent="0.35">
      <c r="A12" s="3" t="s">
        <v>11</v>
      </c>
      <c r="B12" s="3" t="s">
        <v>12</v>
      </c>
      <c r="C12" s="4">
        <f>SUMIFS([1]العمليات!G:G, [1]العمليات!B:B, A12, [1]العمليات!C:C, "إدخال") - SUMIFS([1]العمليات!G:G, [1]العمليات!B:B, A12, [1]العمليات!C:C, "إخراج")</f>
        <v>1229</v>
      </c>
      <c r="D12" s="3">
        <f>IF(A12="","",IFERROR(LOOKUP(2,1/(([1]العمليات!$B$2:$B$1000=A12)*([1]العمليات!$H$2:$H$1000&lt;&gt;"")),[1]العمليات!$H$2:$H$1000),""))</f>
        <v>1</v>
      </c>
      <c r="E12" s="3">
        <f>IF(A12="","",IFERROR(LOOKUP(2,1/(([1]العمليات!$B$2:$B$1000=A12)*([1]العمليات!$I$2:$I$1000&lt;&gt;"")),[1]العمليات!$I$2:$I$1000),""))</f>
        <v>6</v>
      </c>
    </row>
    <row r="13" spans="1:5" x14ac:dyDescent="0.35">
      <c r="A13" s="5" t="s">
        <v>393</v>
      </c>
      <c r="B13" s="5" t="s">
        <v>394</v>
      </c>
      <c r="C13" s="6">
        <f>SUMIFS([1]العمليات!G:G, [1]العمليات!B:B, A13, [1]العمليات!C:C, "إدخال") - SUMIFS([1]العمليات!G:G, [1]العمليات!B:B, A13, [1]العمليات!C:C, "إخراج")</f>
        <v>0</v>
      </c>
      <c r="D13" s="5" t="str">
        <f>IF(A13="","",IFERROR(LOOKUP(2,1/(([1]العمليات!$B$2:$B$1000=A13)*([1]العمليات!$H$2:$H$1000&lt;&gt;"")),[1]العمليات!$H$2:$H$1000),""))</f>
        <v/>
      </c>
      <c r="E13" s="5" t="str">
        <f>IF(A13="","",IFERROR(LOOKUP(2,1/(([1]العمليات!$B$2:$B$1000=A13)*([1]العمليات!$I$2:$I$1000&lt;&gt;"")),[1]العمليات!$I$2:$I$1000),""))</f>
        <v/>
      </c>
    </row>
    <row r="14" spans="1:5" x14ac:dyDescent="0.35">
      <c r="A14" s="3" t="s">
        <v>13</v>
      </c>
      <c r="B14" s="3" t="s">
        <v>14</v>
      </c>
      <c r="C14" s="4">
        <f>SUMIFS([1]العمليات!G:G, [1]العمليات!B:B, A14, [1]العمليات!C:C, "إدخال") - SUMIFS([1]العمليات!G:G, [1]العمليات!B:B, A14, [1]العمليات!C:C, "إخراج")</f>
        <v>599</v>
      </c>
      <c r="D14" s="3">
        <f>IF(A14="","",IFERROR(LOOKUP(2,1/(([1]العمليات!$B$2:$B$1000=A14)*([1]العمليات!$H$2:$H$1000&lt;&gt;"")),[1]العمليات!$H$2:$H$1000),""))</f>
        <v>3</v>
      </c>
      <c r="E14" s="3">
        <f>IF(A14="","",IFERROR(LOOKUP(2,1/(([1]العمليات!$B$2:$B$1000=A14)*([1]العمليات!$I$2:$I$1000&lt;&gt;"")),[1]العمليات!$I$2:$I$1000),""))</f>
        <v>4</v>
      </c>
    </row>
    <row r="15" spans="1:5" x14ac:dyDescent="0.35">
      <c r="A15" s="5" t="s">
        <v>15</v>
      </c>
      <c r="B15" s="5" t="s">
        <v>16</v>
      </c>
      <c r="C15" s="6">
        <f>SUMIFS([1]العمليات!G:G, [1]العمليات!B:B, A15, [1]العمليات!C:C, "إدخال") - SUMIFS([1]العمليات!G:G, [1]العمليات!B:B, A15, [1]العمليات!C:C, "إخراج")</f>
        <v>562</v>
      </c>
      <c r="D15" s="5">
        <f>IF(A15="","",IFERROR(LOOKUP(2,1/(([1]العمليات!$B$2:$B$1000=A15)*([1]العمليات!$H$2:$H$1000&lt;&gt;"")),[1]العمليات!$H$2:$H$1000),""))</f>
        <v>5</v>
      </c>
      <c r="E15" s="5">
        <f>IF(A15="","",IFERROR(LOOKUP(2,1/(([1]العمليات!$B$2:$B$1000=A15)*([1]العمليات!$I$2:$I$1000&lt;&gt;"")),[1]العمليات!$I$2:$I$1000),""))</f>
        <v>1</v>
      </c>
    </row>
    <row r="16" spans="1:5" x14ac:dyDescent="0.35">
      <c r="A16" s="3" t="s">
        <v>395</v>
      </c>
      <c r="B16" s="3" t="s">
        <v>396</v>
      </c>
      <c r="C16" s="4">
        <f>SUMIFS([1]العمليات!G:G, [1]العمليات!B:B, A16, [1]العمليات!C:C, "إدخال") - SUMIFS([1]العمليات!G:G, [1]العمليات!B:B, A16, [1]العمليات!C:C, "إخراج")</f>
        <v>0</v>
      </c>
      <c r="D16" s="3" t="str">
        <f>IF(A16="","",IFERROR(LOOKUP(2,1/(([1]العمليات!$B$2:$B$1000=A16)*([1]العمليات!$H$2:$H$1000&lt;&gt;"")),[1]العمليات!$H$2:$H$1000),""))</f>
        <v/>
      </c>
      <c r="E16" s="3" t="str">
        <f>IF(A16="","",IFERROR(LOOKUP(2,1/(([1]العمليات!$B$2:$B$1000=A16)*([1]العمليات!$I$2:$I$1000&lt;&gt;"")),[1]العمليات!$I$2:$I$1000),""))</f>
        <v/>
      </c>
    </row>
    <row r="17" spans="1:5" x14ac:dyDescent="0.35">
      <c r="A17" s="5" t="s">
        <v>397</v>
      </c>
      <c r="B17" s="5" t="s">
        <v>398</v>
      </c>
      <c r="C17" s="6">
        <f>SUMIFS([1]العمليات!G:G, [1]العمليات!B:B, A17, [1]العمليات!C:C, "إدخال") - SUMIFS([1]العمليات!G:G, [1]العمليات!B:B, A17, [1]العمليات!C:C, "إخراج")</f>
        <v>0</v>
      </c>
      <c r="D17" s="5" t="str">
        <f>IF(A17="","",IFERROR(LOOKUP(2,1/(([1]العمليات!$B$2:$B$1000=A17)*([1]العمليات!$H$2:$H$1000&lt;&gt;"")),[1]العمليات!$H$2:$H$1000),""))</f>
        <v/>
      </c>
      <c r="E17" s="5" t="str">
        <f>IF(A17="","",IFERROR(LOOKUP(2,1/(([1]العمليات!$B$2:$B$1000=A17)*([1]العمليات!$I$2:$I$1000&lt;&gt;"")),[1]العمليات!$I$2:$I$1000),""))</f>
        <v/>
      </c>
    </row>
    <row r="18" spans="1:5" x14ac:dyDescent="0.35">
      <c r="A18" s="3" t="s">
        <v>17</v>
      </c>
      <c r="B18" s="3" t="s">
        <v>18</v>
      </c>
      <c r="C18" s="4">
        <f>SUMIFS([1]العمليات!G:G, [1]العمليات!B:B, A18, [1]العمليات!C:C, "إدخال") - SUMIFS([1]العمليات!G:G, [1]العمليات!B:B, A18, [1]العمليات!C:C, "إخراج")</f>
        <v>361</v>
      </c>
      <c r="D18" s="3">
        <f>IF(A18="","",IFERROR(LOOKUP(2,1/(([1]العمليات!$B$2:$B$1000=A18)*([1]العمليات!$H$2:$H$1000&lt;&gt;"")),[1]العمليات!$H$2:$H$1000),""))</f>
        <v>1</v>
      </c>
      <c r="E18" s="3">
        <f>IF(A18="","",IFERROR(LOOKUP(2,1/(([1]العمليات!$B$2:$B$1000=A18)*([1]العمليات!$I$2:$I$1000&lt;&gt;"")),[1]العمليات!$I$2:$I$1000),""))</f>
        <v>6</v>
      </c>
    </row>
    <row r="19" spans="1:5" x14ac:dyDescent="0.35">
      <c r="A19" s="5" t="s">
        <v>19</v>
      </c>
      <c r="B19" s="5" t="s">
        <v>20</v>
      </c>
      <c r="C19" s="6">
        <f>SUMIFS([1]العمليات!G:G, [1]العمليات!B:B, A19, [1]العمليات!C:C, "إدخال") - SUMIFS([1]العمليات!G:G, [1]العمليات!B:B, A19, [1]العمليات!C:C, "إخراج")</f>
        <v>195</v>
      </c>
      <c r="D19" s="5">
        <f>IF(A19="","",IFERROR(LOOKUP(2,1/(([1]العمليات!$B$2:$B$1000=A19)*([1]العمليات!$H$2:$H$1000&lt;&gt;"")),[1]العمليات!$H$2:$H$1000),""))</f>
        <v>3</v>
      </c>
      <c r="E19" s="5">
        <f>IF(A19="","",IFERROR(LOOKUP(2,1/(([1]العمليات!$B$2:$B$1000=A19)*([1]العمليات!$I$2:$I$1000&lt;&gt;"")),[1]العمليات!$I$2:$I$1000),""))</f>
        <v>5</v>
      </c>
    </row>
    <row r="20" spans="1:5" x14ac:dyDescent="0.35">
      <c r="A20" s="3" t="s">
        <v>399</v>
      </c>
      <c r="B20" s="3" t="s">
        <v>400</v>
      </c>
      <c r="C20" s="4">
        <f>SUMIFS([1]العمليات!G:G, [1]العمليات!B:B, A20, [1]العمليات!C:C, "إدخال") - SUMIFS([1]العمليات!G:G, [1]العمليات!B:B, A20, [1]العمليات!C:C, "إخراج")</f>
        <v>0</v>
      </c>
      <c r="D20" s="3" t="str">
        <f>IF(A20="","",IFERROR(LOOKUP(2,1/(([1]العمليات!$B$2:$B$1000=A20)*([1]العمليات!$H$2:$H$1000&lt;&gt;"")),[1]العمليات!$H$2:$H$1000),""))</f>
        <v/>
      </c>
      <c r="E20" s="3" t="str">
        <f>IF(A20="","",IFERROR(LOOKUP(2,1/(([1]العمليات!$B$2:$B$1000=A20)*([1]العمليات!$I$2:$I$1000&lt;&gt;"")),[1]العمليات!$I$2:$I$1000),""))</f>
        <v/>
      </c>
    </row>
    <row r="21" spans="1:5" x14ac:dyDescent="0.35">
      <c r="A21" s="5" t="s">
        <v>401</v>
      </c>
      <c r="B21" s="5" t="s">
        <v>402</v>
      </c>
      <c r="C21" s="6">
        <f>SUMIFS([1]العمليات!G:G, [1]العمليات!B:B, A21, [1]العمليات!C:C, "إدخال") - SUMIFS([1]العمليات!G:G, [1]العمليات!B:B, A21, [1]العمليات!C:C, "إخراج")</f>
        <v>0</v>
      </c>
      <c r="D21" s="5" t="str">
        <f>IF(A21="","",IFERROR(LOOKUP(2,1/(([1]العمليات!$B$2:$B$1000=A21)*([1]العمليات!$H$2:$H$1000&lt;&gt;"")),[1]العمليات!$H$2:$H$1000),""))</f>
        <v/>
      </c>
      <c r="E21" s="5" t="str">
        <f>IF(A21="","",IFERROR(LOOKUP(2,1/(([1]العمليات!$B$2:$B$1000=A21)*([1]العمليات!$I$2:$I$1000&lt;&gt;"")),[1]العمليات!$I$2:$I$1000),""))</f>
        <v/>
      </c>
    </row>
    <row r="22" spans="1:5" x14ac:dyDescent="0.35">
      <c r="A22" s="3" t="s">
        <v>403</v>
      </c>
      <c r="B22" s="3" t="s">
        <v>404</v>
      </c>
      <c r="C22" s="4">
        <f>SUMIFS([1]العمليات!G:G, [1]العمليات!B:B, A22, [1]العمليات!C:C, "إدخال") - SUMIFS([1]العمليات!G:G, [1]العمليات!B:B, A22, [1]العمليات!C:C, "إخراج")</f>
        <v>0</v>
      </c>
      <c r="D22" s="3" t="str">
        <f>IF(A22="","",IFERROR(LOOKUP(2,1/(([1]العمليات!$B$2:$B$1000=A22)*([1]العمليات!$H$2:$H$1000&lt;&gt;"")),[1]العمليات!$H$2:$H$1000),""))</f>
        <v/>
      </c>
      <c r="E22" s="3" t="str">
        <f>IF(A22="","",IFERROR(LOOKUP(2,1/(([1]العمليات!$B$2:$B$1000=A22)*([1]العمليات!$I$2:$I$1000&lt;&gt;"")),[1]العمليات!$I$2:$I$1000),""))</f>
        <v/>
      </c>
    </row>
    <row r="23" spans="1:5" x14ac:dyDescent="0.35">
      <c r="A23" s="5" t="s">
        <v>21</v>
      </c>
      <c r="B23" s="5" t="s">
        <v>22</v>
      </c>
      <c r="C23" s="6">
        <f>SUMIFS([1]العمليات!G:G, [1]العمليات!B:B, A23, [1]العمليات!C:C, "إدخال") - SUMIFS([1]العمليات!G:G, [1]العمليات!B:B, A23, [1]العمليات!C:C, "إخراج")</f>
        <v>5069</v>
      </c>
      <c r="D23" s="5" t="str">
        <f>IF(A23="","",IFERROR(LOOKUP(2,1/(([1]العمليات!$B$2:$B$1000=A23)*([1]العمليات!$H$2:$H$1000&lt;&gt;"")),[1]العمليات!$H$2:$H$1000),""))</f>
        <v>مختوم ومسك</v>
      </c>
      <c r="E23" s="5" t="str">
        <f>IF(A23="","",IFERROR(LOOKUP(2,1/(([1]العمليات!$B$2:$B$1000=A23)*([1]العمليات!$I$2:$I$1000&lt;&gt;"")),[1]العمليات!$I$2:$I$1000),""))</f>
        <v>-</v>
      </c>
    </row>
    <row r="24" spans="1:5" x14ac:dyDescent="0.35">
      <c r="A24" s="3" t="s">
        <v>23</v>
      </c>
      <c r="B24" s="3" t="s">
        <v>24</v>
      </c>
      <c r="C24" s="4">
        <f>SUMIFS([1]العمليات!G:G, [1]العمليات!B:B, A24, [1]العمليات!C:C, "إدخال") - SUMIFS([1]العمليات!G:G, [1]العمليات!B:B, A24, [1]العمليات!C:C, "إخراج")</f>
        <v>753</v>
      </c>
      <c r="D24" s="3">
        <f>IF(A24="","",IFERROR(LOOKUP(2,1/(([1]العمليات!$B$2:$B$1000=A24)*([1]العمليات!$H$2:$H$1000&lt;&gt;"")),[1]العمليات!$H$2:$H$1000),""))</f>
        <v>2</v>
      </c>
      <c r="E24" s="3">
        <f>IF(A24="","",IFERROR(LOOKUP(2,1/(([1]العمليات!$B$2:$B$1000=A24)*([1]العمليات!$I$2:$I$1000&lt;&gt;"")),[1]العمليات!$I$2:$I$1000),""))</f>
        <v>3</v>
      </c>
    </row>
    <row r="25" spans="1:5" x14ac:dyDescent="0.35">
      <c r="A25" s="5" t="s">
        <v>25</v>
      </c>
      <c r="B25" s="5" t="s">
        <v>26</v>
      </c>
      <c r="C25" s="6">
        <f>SUMIFS([1]العمليات!G:G, [1]العمليات!B:B, A25, [1]العمليات!C:C, "إدخال") - SUMIFS([1]العمليات!G:G, [1]العمليات!B:B, A25, [1]العمليات!C:C, "إخراج")</f>
        <v>703</v>
      </c>
      <c r="D25" s="5">
        <f>IF(A25="","",IFERROR(LOOKUP(2,1/(([1]العمليات!$B$2:$B$1000=A25)*([1]العمليات!$H$2:$H$1000&lt;&gt;"")),[1]العمليات!$H$2:$H$1000),""))</f>
        <v>2</v>
      </c>
      <c r="E25" s="5">
        <f>IF(A25="","",IFERROR(LOOKUP(2,1/(([1]العمليات!$B$2:$B$1000=A25)*([1]العمليات!$I$2:$I$1000&lt;&gt;"")),[1]العمليات!$I$2:$I$1000),""))</f>
        <v>3</v>
      </c>
    </row>
    <row r="26" spans="1:5" x14ac:dyDescent="0.35">
      <c r="A26" s="3" t="s">
        <v>27</v>
      </c>
      <c r="B26" s="3" t="s">
        <v>28</v>
      </c>
      <c r="C26" s="4">
        <f>SUMIFS([1]العمليات!G:G, [1]العمليات!B:B, A26, [1]العمليات!C:C, "إدخال") - SUMIFS([1]العمليات!G:G, [1]العمليات!B:B, A26, [1]العمليات!C:C, "إخراج")</f>
        <v>455</v>
      </c>
      <c r="D26" s="3">
        <f>IF(A26="","",IFERROR(LOOKUP(2,1/(([1]العمليات!$B$2:$B$1000=A26)*([1]العمليات!$H$2:$H$1000&lt;&gt;"")),[1]العمليات!$H$2:$H$1000),""))</f>
        <v>3</v>
      </c>
      <c r="E26" s="3">
        <f>IF(A26="","",IFERROR(LOOKUP(2,1/(([1]العمليات!$B$2:$B$1000=A26)*([1]العمليات!$I$2:$I$1000&lt;&gt;"")),[1]العمليات!$I$2:$I$1000),""))</f>
        <v>3</v>
      </c>
    </row>
    <row r="27" spans="1:5" x14ac:dyDescent="0.35">
      <c r="A27" s="5" t="s">
        <v>405</v>
      </c>
      <c r="B27" s="5" t="s">
        <v>406</v>
      </c>
      <c r="C27" s="6">
        <f>SUMIFS([1]العمليات!G:G, [1]العمليات!B:B, A27, [1]العمليات!C:C, "إدخال") - SUMIFS([1]العمليات!G:G, [1]العمليات!B:B, A27, [1]العمليات!C:C, "إخراج")</f>
        <v>0</v>
      </c>
      <c r="D27" s="5" t="str">
        <f>IF(A27="","",IFERROR(LOOKUP(2,1/(([1]العمليات!$B$2:$B$1000=A27)*([1]العمليات!$H$2:$H$1000&lt;&gt;"")),[1]العمليات!$H$2:$H$1000),""))</f>
        <v/>
      </c>
      <c r="E27" s="5" t="str">
        <f>IF(A27="","",IFERROR(LOOKUP(2,1/(([1]العمليات!$B$2:$B$1000=A27)*([1]العمليات!$I$2:$I$1000&lt;&gt;"")),[1]العمليات!$I$2:$I$1000),""))</f>
        <v/>
      </c>
    </row>
    <row r="28" spans="1:5" x14ac:dyDescent="0.35">
      <c r="A28" s="3" t="s">
        <v>29</v>
      </c>
      <c r="B28" s="3" t="s">
        <v>30</v>
      </c>
      <c r="C28" s="4">
        <f>SUMIFS([1]العمليات!G:G, [1]العمليات!B:B, A28, [1]العمليات!C:C, "إدخال") - SUMIFS([1]العمليات!G:G, [1]العمليات!B:B, A28, [1]العمليات!C:C, "إخراج")</f>
        <v>634</v>
      </c>
      <c r="D28" s="3">
        <f>IF(A28="","",IFERROR(LOOKUP(2,1/(([1]العمليات!$B$2:$B$1000=A28)*([1]العمليات!$H$2:$H$1000&lt;&gt;"")),[1]العمليات!$H$2:$H$1000),""))</f>
        <v>1</v>
      </c>
      <c r="E28" s="3">
        <f>IF(A28="","",IFERROR(LOOKUP(2,1/(([1]العمليات!$B$2:$B$1000=A28)*([1]العمليات!$I$2:$I$1000&lt;&gt;"")),[1]العمليات!$I$2:$I$1000),""))</f>
        <v>3</v>
      </c>
    </row>
    <row r="29" spans="1:5" x14ac:dyDescent="0.35">
      <c r="A29" s="5" t="s">
        <v>31</v>
      </c>
      <c r="B29" s="5" t="s">
        <v>32</v>
      </c>
      <c r="C29" s="6">
        <f>SUMIFS([1]العمليات!G:G, [1]العمليات!B:B, A29, [1]العمليات!C:C, "إدخال") - SUMIFS([1]العمليات!G:G, [1]العمليات!B:B, A29, [1]العمليات!C:C, "إخراج")</f>
        <v>1099</v>
      </c>
      <c r="D29" s="5">
        <f>IF(A29="","",IFERROR(LOOKUP(2,1/(([1]العمليات!$B$2:$B$1000=A29)*([1]العمليات!$H$2:$H$1000&lt;&gt;"")),[1]العمليات!$H$2:$H$1000),""))</f>
        <v>3</v>
      </c>
      <c r="E29" s="5" t="str">
        <f>IF(A29="","",IFERROR(LOOKUP(2,1/(([1]العمليات!$B$2:$B$1000=A29)*([1]العمليات!$I$2:$I$1000&lt;&gt;"")),[1]العمليات!$I$2:$I$1000),""))</f>
        <v>1ط2</v>
      </c>
    </row>
    <row r="30" spans="1:5" x14ac:dyDescent="0.35">
      <c r="A30" s="3" t="s">
        <v>407</v>
      </c>
      <c r="B30" s="3" t="s">
        <v>408</v>
      </c>
      <c r="C30" s="4">
        <f>SUMIFS([1]العمليات!G:G, [1]العمليات!B:B, A30, [1]العمليات!C:C, "إدخال") - SUMIFS([1]العمليات!G:G, [1]العمليات!B:B, A30, [1]العمليات!C:C, "إخراج")</f>
        <v>0</v>
      </c>
      <c r="D30" s="3" t="str">
        <f>IF(A30="","",IFERROR(LOOKUP(2,1/(([1]العمليات!$B$2:$B$1000=A30)*([1]العمليات!$H$2:$H$1000&lt;&gt;"")),[1]العمليات!$H$2:$H$1000),""))</f>
        <v/>
      </c>
      <c r="E30" s="3" t="str">
        <f>IF(A30="","",IFERROR(LOOKUP(2,1/(([1]العمليات!$B$2:$B$1000=A30)*([1]العمليات!$I$2:$I$1000&lt;&gt;"")),[1]العمليات!$I$2:$I$1000),""))</f>
        <v/>
      </c>
    </row>
    <row r="31" spans="1:5" x14ac:dyDescent="0.35">
      <c r="A31" s="5" t="s">
        <v>33</v>
      </c>
      <c r="B31" s="5" t="s">
        <v>34</v>
      </c>
      <c r="C31" s="6">
        <f>SUMIFS([1]العمليات!G:G, [1]العمليات!B:B, A31, [1]العمليات!C:C, "إدخال") - SUMIFS([1]العمليات!G:G, [1]العمليات!B:B, A31, [1]العمليات!C:C, "إخراج")</f>
        <v>1000</v>
      </c>
      <c r="D31" s="5">
        <f>IF(A31="","",IFERROR(LOOKUP(2,1/(([1]العمليات!$B$2:$B$1000=A31)*([1]العمليات!$H$2:$H$1000&lt;&gt;"")),[1]العمليات!$H$2:$H$1000),""))</f>
        <v>3</v>
      </c>
      <c r="E31" s="5">
        <f>IF(A31="","",IFERROR(LOOKUP(2,1/(([1]العمليات!$B$2:$B$1000=A31)*([1]العمليات!$I$2:$I$1000&lt;&gt;"")),[1]العمليات!$I$2:$I$1000),""))</f>
        <v>1</v>
      </c>
    </row>
    <row r="32" spans="1:5" x14ac:dyDescent="0.35">
      <c r="A32" s="3" t="s">
        <v>35</v>
      </c>
      <c r="B32" s="3" t="s">
        <v>36</v>
      </c>
      <c r="C32" s="4">
        <f>SUMIFS([1]العمليات!G:G, [1]العمليات!B:B, A32, [1]العمليات!C:C, "إدخال") - SUMIFS([1]العمليات!G:G, [1]العمليات!B:B, A32, [1]العمليات!C:C, "إخراج")</f>
        <v>704</v>
      </c>
      <c r="D32" s="3">
        <f>IF(A32="","",IFERROR(LOOKUP(2,1/(([1]العمليات!$B$2:$B$1000=A32)*([1]العمليات!$H$2:$H$1000&lt;&gt;"")),[1]العمليات!$H$2:$H$1000),""))</f>
        <v>1</v>
      </c>
      <c r="E32" s="3">
        <f>IF(A32="","",IFERROR(LOOKUP(2,1/(([1]العمليات!$B$2:$B$1000=A32)*([1]العمليات!$I$2:$I$1000&lt;&gt;"")),[1]العمليات!$I$2:$I$1000),""))</f>
        <v>4</v>
      </c>
    </row>
    <row r="33" spans="1:5" x14ac:dyDescent="0.35">
      <c r="A33" s="5" t="s">
        <v>37</v>
      </c>
      <c r="B33" s="5" t="s">
        <v>38</v>
      </c>
      <c r="C33" s="6">
        <f>SUMIFS([1]العمليات!G:G, [1]العمليات!B:B, A33, [1]العمليات!C:C, "إدخال") - SUMIFS([1]العمليات!G:G, [1]العمليات!B:B, A33, [1]العمليات!C:C, "إخراج")</f>
        <v>320</v>
      </c>
      <c r="D33" s="5">
        <f>IF(A33="","",IFERROR(LOOKUP(2,1/(([1]العمليات!$B$2:$B$1000=A33)*([1]العمليات!$H$2:$H$1000&lt;&gt;"")),[1]العمليات!$H$2:$H$1000),""))</f>
        <v>2</v>
      </c>
      <c r="E33" s="5">
        <f>IF(A33="","",IFERROR(LOOKUP(2,1/(([1]العمليات!$B$2:$B$1000=A33)*([1]العمليات!$I$2:$I$1000&lt;&gt;"")),[1]العمليات!$I$2:$I$1000),""))</f>
        <v>6</v>
      </c>
    </row>
    <row r="34" spans="1:5" x14ac:dyDescent="0.35">
      <c r="A34" s="3" t="s">
        <v>409</v>
      </c>
      <c r="B34" s="3" t="s">
        <v>410</v>
      </c>
      <c r="C34" s="4">
        <f>SUMIFS([1]العمليات!G:G, [1]العمليات!B:B, A34, [1]العمليات!C:C, "إدخال") - SUMIFS([1]العمليات!G:G, [1]العمليات!B:B, A34, [1]العمليات!C:C, "إخراج")</f>
        <v>0</v>
      </c>
      <c r="D34" s="3" t="str">
        <f>IF(A34="","",IFERROR(LOOKUP(2,1/(([1]العمليات!$B$2:$B$1000=A34)*([1]العمليات!$H$2:$H$1000&lt;&gt;"")),[1]العمليات!$H$2:$H$1000),""))</f>
        <v/>
      </c>
      <c r="E34" s="3" t="str">
        <f>IF(A34="","",IFERROR(LOOKUP(2,1/(([1]العمليات!$B$2:$B$1000=A34)*([1]العمليات!$I$2:$I$1000&lt;&gt;"")),[1]العمليات!$I$2:$I$1000),""))</f>
        <v/>
      </c>
    </row>
    <row r="35" spans="1:5" x14ac:dyDescent="0.35">
      <c r="A35" s="5" t="s">
        <v>39</v>
      </c>
      <c r="B35" s="5" t="s">
        <v>40</v>
      </c>
      <c r="C35" s="6">
        <f>SUMIFS([1]العمليات!G:G, [1]العمليات!B:B, A35, [1]العمليات!C:C, "إدخال") - SUMIFS([1]العمليات!G:G, [1]العمليات!B:B, A35, [1]العمليات!C:C, "إخراج")</f>
        <v>183</v>
      </c>
      <c r="D35" s="5">
        <f>IF(A35="","",IFERROR(LOOKUP(2,1/(([1]العمليات!$B$2:$B$1000=A35)*([1]العمليات!$H$2:$H$1000&lt;&gt;"")),[1]العمليات!$H$2:$H$1000),""))</f>
        <v>3</v>
      </c>
      <c r="E35" s="5">
        <f>IF(A35="","",IFERROR(LOOKUP(2,1/(([1]العمليات!$B$2:$B$1000=A35)*([1]العمليات!$I$2:$I$1000&lt;&gt;"")),[1]العمليات!$I$2:$I$1000),""))</f>
        <v>6</v>
      </c>
    </row>
    <row r="36" spans="1:5" x14ac:dyDescent="0.35">
      <c r="A36" s="3" t="s">
        <v>41</v>
      </c>
      <c r="B36" s="3" t="s">
        <v>42</v>
      </c>
      <c r="C36" s="4">
        <f>SUMIFS([1]العمليات!G:G, [1]العمليات!B:B, A36, [1]العمليات!C:C, "إدخال") - SUMIFS([1]العمليات!G:G, [1]العمليات!B:B, A36, [1]العمليات!C:C, "إخراج")</f>
        <v>218</v>
      </c>
      <c r="D36" s="3">
        <f>IF(A36="","",IFERROR(LOOKUP(2,1/(([1]العمليات!$B$2:$B$1000=A36)*([1]العمليات!$H$2:$H$1000&lt;&gt;"")),[1]العمليات!$H$2:$H$1000),""))</f>
        <v>4</v>
      </c>
      <c r="E36" s="3">
        <f>IF(A36="","",IFERROR(LOOKUP(2,1/(([1]العمليات!$B$2:$B$1000=A36)*([1]العمليات!$I$2:$I$1000&lt;&gt;"")),[1]العمليات!$I$2:$I$1000),""))</f>
        <v>6</v>
      </c>
    </row>
    <row r="37" spans="1:5" x14ac:dyDescent="0.35">
      <c r="A37" s="5" t="s">
        <v>43</v>
      </c>
      <c r="B37" s="5" t="s">
        <v>44</v>
      </c>
      <c r="C37" s="6">
        <f>SUMIFS([1]العمليات!G:G, [1]العمليات!B:B, A37, [1]العمليات!C:C, "إدخال") - SUMIFS([1]العمليات!G:G, [1]العمليات!B:B, A37, [1]العمليات!C:C, "إخراج")</f>
        <v>1470</v>
      </c>
      <c r="D37" s="5">
        <f>IF(A37="","",IFERROR(LOOKUP(2,1/(([1]العمليات!$B$2:$B$1000=A37)*([1]العمليات!$H$2:$H$1000&lt;&gt;"")),[1]العمليات!$H$2:$H$1000),""))</f>
        <v>1</v>
      </c>
      <c r="E37" s="5">
        <f>IF(A37="","",IFERROR(LOOKUP(2,1/(([1]العمليات!$B$2:$B$1000=A37)*([1]العمليات!$I$2:$I$1000&lt;&gt;"")),[1]العمليات!$I$2:$I$1000),""))</f>
        <v>3</v>
      </c>
    </row>
    <row r="38" spans="1:5" x14ac:dyDescent="0.35">
      <c r="A38" s="3" t="s">
        <v>411</v>
      </c>
      <c r="B38" s="3" t="s">
        <v>412</v>
      </c>
      <c r="C38" s="4">
        <f>SUMIFS([1]العمليات!G:G, [1]العمليات!B:B, A38, [1]العمليات!C:C, "إدخال") - SUMIFS([1]العمليات!G:G, [1]العمليات!B:B, A38, [1]العمليات!C:C, "إخراج")</f>
        <v>0</v>
      </c>
      <c r="D38" s="3" t="str">
        <f>IF(A38="","",IFERROR(LOOKUP(2,1/(([1]العمليات!$B$2:$B$1000=A38)*([1]العمليات!$H$2:$H$1000&lt;&gt;"")),[1]العمليات!$H$2:$H$1000),""))</f>
        <v/>
      </c>
      <c r="E38" s="3" t="str">
        <f>IF(A38="","",IFERROR(LOOKUP(2,1/(([1]العمليات!$B$2:$B$1000=A38)*([1]العمليات!$I$2:$I$1000&lt;&gt;"")),[1]العمليات!$I$2:$I$1000),""))</f>
        <v/>
      </c>
    </row>
    <row r="39" spans="1:5" x14ac:dyDescent="0.35">
      <c r="A39" s="5" t="s">
        <v>413</v>
      </c>
      <c r="B39" s="5" t="s">
        <v>414</v>
      </c>
      <c r="C39" s="6">
        <f>SUMIFS([1]العمليات!G:G, [1]العمليات!B:B, A39, [1]العمليات!C:C, "إدخال") - SUMIFS([1]العمليات!G:G, [1]العمليات!B:B, A39, [1]العمليات!C:C, "إخراج")</f>
        <v>0</v>
      </c>
      <c r="D39" s="5" t="str">
        <f>IF(A39="","",IFERROR(LOOKUP(2,1/(([1]العمليات!$B$2:$B$1000=A39)*([1]العمليات!$H$2:$H$1000&lt;&gt;"")),[1]العمليات!$H$2:$H$1000),""))</f>
        <v/>
      </c>
      <c r="E39" s="5" t="str">
        <f>IF(A39="","",IFERROR(LOOKUP(2,1/(([1]العمليات!$B$2:$B$1000=A39)*([1]العمليات!$I$2:$I$1000&lt;&gt;"")),[1]العمليات!$I$2:$I$1000),""))</f>
        <v/>
      </c>
    </row>
    <row r="40" spans="1:5" x14ac:dyDescent="0.35">
      <c r="A40" s="3" t="s">
        <v>415</v>
      </c>
      <c r="B40" s="3" t="s">
        <v>416</v>
      </c>
      <c r="C40" s="4">
        <f>SUMIFS([1]العمليات!G:G, [1]العمليات!B:B, A40, [1]العمليات!C:C, "إدخال") - SUMIFS([1]العمليات!G:G, [1]العمليات!B:B, A40, [1]العمليات!C:C, "إخراج")</f>
        <v>0</v>
      </c>
      <c r="D40" s="3" t="str">
        <f>IF(A40="","",IFERROR(LOOKUP(2,1/(([1]العمليات!$B$2:$B$1000=A40)*([1]العمليات!$H$2:$H$1000&lt;&gt;"")),[1]العمليات!$H$2:$H$1000),""))</f>
        <v/>
      </c>
      <c r="E40" s="3" t="str">
        <f>IF(A40="","",IFERROR(LOOKUP(2,1/(([1]العمليات!$B$2:$B$1000=A40)*([1]العمليات!$I$2:$I$1000&lt;&gt;"")),[1]العمليات!$I$2:$I$1000),""))</f>
        <v/>
      </c>
    </row>
    <row r="41" spans="1:5" x14ac:dyDescent="0.35">
      <c r="A41" s="5" t="s">
        <v>417</v>
      </c>
      <c r="B41" s="5" t="s">
        <v>418</v>
      </c>
      <c r="C41" s="6">
        <f>SUMIFS([1]العمليات!G:G, [1]العمليات!B:B, A41, [1]العمليات!C:C, "إدخال") - SUMIFS([1]العمليات!G:G, [1]العمليات!B:B, A41, [1]العمليات!C:C, "إخراج")</f>
        <v>0</v>
      </c>
      <c r="D41" s="5" t="str">
        <f>IF(A41="","",IFERROR(LOOKUP(2,1/(([1]العمليات!$B$2:$B$1000=A41)*([1]العمليات!$H$2:$H$1000&lt;&gt;"")),[1]العمليات!$H$2:$H$1000),""))</f>
        <v/>
      </c>
      <c r="E41" s="5" t="str">
        <f>IF(A41="","",IFERROR(LOOKUP(2,1/(([1]العمليات!$B$2:$B$1000=A41)*([1]العمليات!$I$2:$I$1000&lt;&gt;"")),[1]العمليات!$I$2:$I$1000),""))</f>
        <v/>
      </c>
    </row>
    <row r="42" spans="1:5" x14ac:dyDescent="0.35">
      <c r="A42" s="3" t="s">
        <v>45</v>
      </c>
      <c r="B42" s="3" t="s">
        <v>46</v>
      </c>
      <c r="C42" s="4">
        <f>SUMIFS([1]العمليات!G:G, [1]العمليات!B:B, A42, [1]العمليات!C:C, "إدخال") - SUMIFS([1]العمليات!G:G, [1]العمليات!B:B, A42, [1]العمليات!C:C, "إخراج")</f>
        <v>357</v>
      </c>
      <c r="D42" s="3">
        <f>IF(A42="","",IFERROR(LOOKUP(2,1/(([1]العمليات!$B$2:$B$1000=A42)*([1]العمليات!$H$2:$H$1000&lt;&gt;"")),[1]العمليات!$H$2:$H$1000),""))</f>
        <v>2</v>
      </c>
      <c r="E42" s="3">
        <f>IF(A42="","",IFERROR(LOOKUP(2,1/(([1]العمليات!$B$2:$B$1000=A42)*([1]العمليات!$I$2:$I$1000&lt;&gt;"")),[1]العمليات!$I$2:$I$1000),""))</f>
        <v>1</v>
      </c>
    </row>
    <row r="43" spans="1:5" x14ac:dyDescent="0.35">
      <c r="A43" s="5" t="s">
        <v>47</v>
      </c>
      <c r="B43" s="5" t="s">
        <v>48</v>
      </c>
      <c r="C43" s="6">
        <f>SUMIFS([1]العمليات!G:G, [1]العمليات!B:B, A43, [1]العمليات!C:C, "إدخال") - SUMIFS([1]العمليات!G:G, [1]العمليات!B:B, A43, [1]العمليات!C:C, "إخراج")</f>
        <v>699</v>
      </c>
      <c r="D43" s="5">
        <f>IF(A43="","",IFERROR(LOOKUP(2,1/(([1]العمليات!$B$2:$B$1000=A43)*([1]العمليات!$H$2:$H$1000&lt;&gt;"")),[1]العمليات!$H$2:$H$1000),""))</f>
        <v>6</v>
      </c>
      <c r="E43" s="5">
        <f>IF(A43="","",IFERROR(LOOKUP(2,1/(([1]العمليات!$B$2:$B$1000=A43)*([1]العمليات!$I$2:$I$1000&lt;&gt;"")),[1]العمليات!$I$2:$I$1000),""))</f>
        <v>1</v>
      </c>
    </row>
    <row r="44" spans="1:5" x14ac:dyDescent="0.35">
      <c r="A44" s="3" t="s">
        <v>419</v>
      </c>
      <c r="B44" s="3" t="s">
        <v>420</v>
      </c>
      <c r="C44" s="4">
        <f>SUMIFS([1]العمليات!G:G, [1]العمليات!B:B, A44, [1]العمليات!C:C, "إدخال") - SUMIFS([1]العمليات!G:G, [1]العمليات!B:B, A44, [1]العمليات!C:C, "إخراج")</f>
        <v>0</v>
      </c>
      <c r="D44" s="3" t="str">
        <f>IF(A44="","",IFERROR(LOOKUP(2,1/(([1]العمليات!$B$2:$B$1000=A44)*([1]العمليات!$H$2:$H$1000&lt;&gt;"")),[1]العمليات!$H$2:$H$1000),""))</f>
        <v/>
      </c>
      <c r="E44" s="3" t="str">
        <f>IF(A44="","",IFERROR(LOOKUP(2,1/(([1]العمليات!$B$2:$B$1000=A44)*([1]العمليات!$I$2:$I$1000&lt;&gt;"")),[1]العمليات!$I$2:$I$1000),""))</f>
        <v/>
      </c>
    </row>
    <row r="45" spans="1:5" x14ac:dyDescent="0.35">
      <c r="A45" s="5" t="s">
        <v>49</v>
      </c>
      <c r="B45" s="5" t="s">
        <v>50</v>
      </c>
      <c r="C45" s="6">
        <f>SUMIFS([1]العمليات!G:G, [1]العمليات!B:B, A45, [1]العمليات!C:C, "إدخال") - SUMIFS([1]العمليات!G:G, [1]العمليات!B:B, A45, [1]العمليات!C:C, "إخراج")</f>
        <v>707</v>
      </c>
      <c r="D45" s="5">
        <f>IF(A45="","",IFERROR(LOOKUP(2,1/(([1]العمليات!$B$2:$B$1000=A45)*([1]العمليات!$H$2:$H$1000&lt;&gt;"")),[1]العمليات!$H$2:$H$1000),""))</f>
        <v>6</v>
      </c>
      <c r="E45" s="5">
        <f>IF(A45="","",IFERROR(LOOKUP(2,1/(([1]العمليات!$B$2:$B$1000=A45)*([1]العمليات!$I$2:$I$1000&lt;&gt;"")),[1]العمليات!$I$2:$I$1000),""))</f>
        <v>3</v>
      </c>
    </row>
    <row r="46" spans="1:5" x14ac:dyDescent="0.35">
      <c r="A46" s="3" t="s">
        <v>421</v>
      </c>
      <c r="B46" s="3" t="s">
        <v>422</v>
      </c>
      <c r="C46" s="4">
        <f>SUMIFS([1]العمليات!G:G, [1]العمليات!B:B, A46, [1]العمليات!C:C, "إدخال") - SUMIFS([1]العمليات!G:G, [1]العمليات!B:B, A46, [1]العمليات!C:C, "إخراج")</f>
        <v>0</v>
      </c>
      <c r="D46" s="3" t="str">
        <f>IF(A46="","",IFERROR(LOOKUP(2,1/(([1]العمليات!$B$2:$B$1000=A46)*([1]العمليات!$H$2:$H$1000&lt;&gt;"")),[1]العمليات!$H$2:$H$1000),""))</f>
        <v/>
      </c>
      <c r="E46" s="3" t="str">
        <f>IF(A46="","",IFERROR(LOOKUP(2,1/(([1]العمليات!$B$2:$B$1000=A46)*([1]العمليات!$I$2:$I$1000&lt;&gt;"")),[1]العمليات!$I$2:$I$1000),""))</f>
        <v/>
      </c>
    </row>
    <row r="47" spans="1:5" x14ac:dyDescent="0.35">
      <c r="A47" s="5" t="s">
        <v>51</v>
      </c>
      <c r="B47" s="5" t="s">
        <v>52</v>
      </c>
      <c r="C47" s="6">
        <f>SUMIFS([1]العمليات!G:G, [1]العمليات!B:B, A47, [1]العمليات!C:C, "إدخال") - SUMIFS([1]العمليات!G:G, [1]العمليات!B:B, A47, [1]العمليات!C:C, "إخراج")</f>
        <v>1002</v>
      </c>
      <c r="D47" s="5">
        <f>IF(A47="","",IFERROR(LOOKUP(2,1/(([1]العمليات!$B$2:$B$1000=A47)*([1]العمليات!$H$2:$H$1000&lt;&gt;"")),[1]العمليات!$H$2:$H$1000),""))</f>
        <v>2</v>
      </c>
      <c r="E47" s="5">
        <f>IF(A47="","",IFERROR(LOOKUP(2,1/(([1]العمليات!$B$2:$B$1000=A47)*([1]العمليات!$I$2:$I$1000&lt;&gt;"")),[1]العمليات!$I$2:$I$1000),""))</f>
        <v>4</v>
      </c>
    </row>
    <row r="48" spans="1:5" x14ac:dyDescent="0.35">
      <c r="A48" s="3" t="s">
        <v>423</v>
      </c>
      <c r="B48" s="3" t="s">
        <v>424</v>
      </c>
      <c r="C48" s="4">
        <f>SUMIFS([1]العمليات!G:G, [1]العمليات!B:B, A48, [1]العمليات!C:C, "إدخال") - SUMIFS([1]العمليات!G:G, [1]العمليات!B:B, A48, [1]العمليات!C:C, "إخراج")</f>
        <v>0</v>
      </c>
      <c r="D48" s="3" t="str">
        <f>IF(A48="","",IFERROR(LOOKUP(2,1/(([1]العمليات!$B$2:$B$1000=A48)*([1]العمليات!$H$2:$H$1000&lt;&gt;"")),[1]العمليات!$H$2:$H$1000),""))</f>
        <v/>
      </c>
      <c r="E48" s="3" t="str">
        <f>IF(A48="","",IFERROR(LOOKUP(2,1/(([1]العمليات!$B$2:$B$1000=A48)*([1]العمليات!$I$2:$I$1000&lt;&gt;"")),[1]العمليات!$I$2:$I$1000),""))</f>
        <v/>
      </c>
    </row>
    <row r="49" spans="1:5" x14ac:dyDescent="0.35">
      <c r="A49" s="5" t="s">
        <v>425</v>
      </c>
      <c r="B49" s="5" t="s">
        <v>426</v>
      </c>
      <c r="C49" s="6">
        <f>SUMIFS([1]العمليات!G:G, [1]العمليات!B:B, A49, [1]العمليات!C:C, "إدخال") - SUMIFS([1]العمليات!G:G, [1]العمليات!B:B, A49, [1]العمليات!C:C, "إخراج")</f>
        <v>0</v>
      </c>
      <c r="D49" s="5" t="str">
        <f>IF(A49="","",IFERROR(LOOKUP(2,1/(([1]العمليات!$B$2:$B$1000=A49)*([1]العمليات!$H$2:$H$1000&lt;&gt;"")),[1]العمليات!$H$2:$H$1000),""))</f>
        <v/>
      </c>
      <c r="E49" s="5" t="str">
        <f>IF(A49="","",IFERROR(LOOKUP(2,1/(([1]العمليات!$B$2:$B$1000=A49)*([1]العمليات!$I$2:$I$1000&lt;&gt;"")),[1]العمليات!$I$2:$I$1000),""))</f>
        <v/>
      </c>
    </row>
    <row r="50" spans="1:5" x14ac:dyDescent="0.35">
      <c r="A50" s="3" t="s">
        <v>53</v>
      </c>
      <c r="B50" s="3" t="s">
        <v>54</v>
      </c>
      <c r="C50" s="4">
        <f>SUMIFS([1]العمليات!G:G, [1]العمليات!B:B, A50, [1]العمليات!C:C, "إدخال") - SUMIFS([1]العمليات!G:G, [1]العمليات!B:B, A50, [1]العمليات!C:C, "إخراج")</f>
        <v>583</v>
      </c>
      <c r="D50" s="3">
        <f>IF(A50="","",IFERROR(LOOKUP(2,1/(([1]العمليات!$B$2:$B$1000=A50)*([1]العمليات!$H$2:$H$1000&lt;&gt;"")),[1]العمليات!$H$2:$H$1000),""))</f>
        <v>3</v>
      </c>
      <c r="E50" s="3" t="str">
        <f>IF(A50="","",IFERROR(LOOKUP(2,1/(([1]العمليات!$B$2:$B$1000=A50)*([1]العمليات!$I$2:$I$1000&lt;&gt;"")),[1]العمليات!$I$2:$I$1000),""))</f>
        <v>1ط2</v>
      </c>
    </row>
    <row r="51" spans="1:5" x14ac:dyDescent="0.35">
      <c r="A51" s="5" t="s">
        <v>55</v>
      </c>
      <c r="B51" s="5" t="s">
        <v>56</v>
      </c>
      <c r="C51" s="6">
        <f>SUMIFS([1]العمليات!G:G, [1]العمليات!B:B, A51, [1]العمليات!C:C, "إدخال") - SUMIFS([1]العمليات!G:G, [1]العمليات!B:B, A51, [1]العمليات!C:C, "إخراج")</f>
        <v>710</v>
      </c>
      <c r="D51" s="5">
        <f>IF(A51="","",IFERROR(LOOKUP(2,1/(([1]العمليات!$B$2:$B$1000=A51)*([1]العمليات!$H$2:$H$1000&lt;&gt;"")),[1]العمليات!$H$2:$H$1000),""))</f>
        <v>5</v>
      </c>
      <c r="E51" s="5">
        <f>IF(A51="","",IFERROR(LOOKUP(2,1/(([1]العمليات!$B$2:$B$1000=A51)*([1]العمليات!$I$2:$I$1000&lt;&gt;"")),[1]العمليات!$I$2:$I$1000),""))</f>
        <v>6</v>
      </c>
    </row>
    <row r="52" spans="1:5" x14ac:dyDescent="0.35">
      <c r="A52" s="3" t="s">
        <v>427</v>
      </c>
      <c r="B52" s="3" t="s">
        <v>428</v>
      </c>
      <c r="C52" s="4">
        <f>SUMIFS([1]العمليات!G:G, [1]العمليات!B:B, A52, [1]العمليات!C:C, "إدخال") - SUMIFS([1]العمليات!G:G, [1]العمليات!B:B, A52, [1]العمليات!C:C, "إخراج")</f>
        <v>0</v>
      </c>
      <c r="D52" s="3" t="str">
        <f>IF(A52="","",IFERROR(LOOKUP(2,1/(([1]العمليات!$B$2:$B$1000=A52)*([1]العمليات!$H$2:$H$1000&lt;&gt;"")),[1]العمليات!$H$2:$H$1000),""))</f>
        <v/>
      </c>
      <c r="E52" s="3" t="str">
        <f>IF(A52="","",IFERROR(LOOKUP(2,1/(([1]العمليات!$B$2:$B$1000=A52)*([1]العمليات!$I$2:$I$1000&lt;&gt;"")),[1]العمليات!$I$2:$I$1000),""))</f>
        <v/>
      </c>
    </row>
    <row r="53" spans="1:5" x14ac:dyDescent="0.35">
      <c r="A53" s="5" t="s">
        <v>429</v>
      </c>
      <c r="B53" s="5" t="s">
        <v>430</v>
      </c>
      <c r="C53" s="6">
        <f>SUMIFS([1]العمليات!G:G, [1]العمليات!B:B, A53, [1]العمليات!C:C, "إدخال") - SUMIFS([1]العمليات!G:G, [1]العمليات!B:B, A53, [1]العمليات!C:C, "إخراج")</f>
        <v>0</v>
      </c>
      <c r="D53" s="5" t="str">
        <f>IF(A53="","",IFERROR(LOOKUP(2,1/(([1]العمليات!$B$2:$B$1000=A53)*([1]العمليات!$H$2:$H$1000&lt;&gt;"")),[1]العمليات!$H$2:$H$1000),""))</f>
        <v/>
      </c>
      <c r="E53" s="5" t="str">
        <f>IF(A53="","",IFERROR(LOOKUP(2,1/(([1]العمليات!$B$2:$B$1000=A53)*([1]العمليات!$I$2:$I$1000&lt;&gt;"")),[1]العمليات!$I$2:$I$1000),""))</f>
        <v/>
      </c>
    </row>
    <row r="54" spans="1:5" x14ac:dyDescent="0.35">
      <c r="A54" s="3" t="s">
        <v>431</v>
      </c>
      <c r="B54" s="3" t="s">
        <v>432</v>
      </c>
      <c r="C54" s="4">
        <f>SUMIFS([1]العمليات!G:G, [1]العمليات!B:B, A54, [1]العمليات!C:C, "إدخال") - SUMIFS([1]العمليات!G:G, [1]العمليات!B:B, A54, [1]العمليات!C:C, "إخراج")</f>
        <v>0</v>
      </c>
      <c r="D54" s="3" t="str">
        <f>IF(A54="","",IFERROR(LOOKUP(2,1/(([1]العمليات!$B$2:$B$1000=A54)*([1]العمليات!$H$2:$H$1000&lt;&gt;"")),[1]العمليات!$H$2:$H$1000),""))</f>
        <v/>
      </c>
      <c r="E54" s="3" t="str">
        <f>IF(A54="","",IFERROR(LOOKUP(2,1/(([1]العمليات!$B$2:$B$1000=A54)*([1]العمليات!$I$2:$I$1000&lt;&gt;"")),[1]العمليات!$I$2:$I$1000),""))</f>
        <v/>
      </c>
    </row>
    <row r="55" spans="1:5" x14ac:dyDescent="0.35">
      <c r="A55" s="5" t="s">
        <v>433</v>
      </c>
      <c r="B55" s="5" t="s">
        <v>434</v>
      </c>
      <c r="C55" s="6">
        <f>SUMIFS([1]العمليات!G:G, [1]العمليات!B:B, A55, [1]العمليات!C:C, "إدخال") - SUMIFS([1]العمليات!G:G, [1]العمليات!B:B, A55, [1]العمليات!C:C, "إخراج")</f>
        <v>0</v>
      </c>
      <c r="D55" s="5" t="str">
        <f>IF(A55="","",IFERROR(LOOKUP(2,1/(([1]العمليات!$B$2:$B$1000=A55)*([1]العمليات!$H$2:$H$1000&lt;&gt;"")),[1]العمليات!$H$2:$H$1000),""))</f>
        <v/>
      </c>
      <c r="E55" s="5" t="str">
        <f>IF(A55="","",IFERROR(LOOKUP(2,1/(([1]العمليات!$B$2:$B$1000=A55)*([1]العمليات!$I$2:$I$1000&lt;&gt;"")),[1]العمليات!$I$2:$I$1000),""))</f>
        <v/>
      </c>
    </row>
    <row r="56" spans="1:5" x14ac:dyDescent="0.35">
      <c r="A56" s="3" t="s">
        <v>435</v>
      </c>
      <c r="B56" s="3" t="s">
        <v>436</v>
      </c>
      <c r="C56" s="4">
        <f>SUMIFS([1]العمليات!G:G, [1]العمليات!B:B, A56, [1]العمليات!C:C, "إدخال") - SUMIFS([1]العمليات!G:G, [1]العمليات!B:B, A56, [1]العمليات!C:C, "إخراج")</f>
        <v>0</v>
      </c>
      <c r="D56" s="3" t="str">
        <f>IF(A56="","",IFERROR(LOOKUP(2,1/(([1]العمليات!$B$2:$B$1000=A56)*([1]العمليات!$H$2:$H$1000&lt;&gt;"")),[1]العمليات!$H$2:$H$1000),""))</f>
        <v/>
      </c>
      <c r="E56" s="3" t="str">
        <f>IF(A56="","",IFERROR(LOOKUP(2,1/(([1]العمليات!$B$2:$B$1000=A56)*([1]العمليات!$I$2:$I$1000&lt;&gt;"")),[1]العمليات!$I$2:$I$1000),""))</f>
        <v/>
      </c>
    </row>
    <row r="57" spans="1:5" x14ac:dyDescent="0.35">
      <c r="A57" s="5" t="s">
        <v>437</v>
      </c>
      <c r="B57" s="5" t="s">
        <v>438</v>
      </c>
      <c r="C57" s="6">
        <f>SUMIFS([1]العمليات!G:G, [1]العمليات!B:B, A57, [1]العمليات!C:C, "إدخال") - SUMIFS([1]العمليات!G:G, [1]العمليات!B:B, A57, [1]العمليات!C:C, "إخراج")</f>
        <v>0</v>
      </c>
      <c r="D57" s="5" t="str">
        <f>IF(A57="","",IFERROR(LOOKUP(2,1/(([1]العمليات!$B$2:$B$1000=A57)*([1]العمليات!$H$2:$H$1000&lt;&gt;"")),[1]العمليات!$H$2:$H$1000),""))</f>
        <v/>
      </c>
      <c r="E57" s="5" t="str">
        <f>IF(A57="","",IFERROR(LOOKUP(2,1/(([1]العمليات!$B$2:$B$1000=A57)*([1]العمليات!$I$2:$I$1000&lt;&gt;"")),[1]العمليات!$I$2:$I$1000),""))</f>
        <v/>
      </c>
    </row>
    <row r="58" spans="1:5" x14ac:dyDescent="0.35">
      <c r="A58" s="3" t="s">
        <v>439</v>
      </c>
      <c r="B58" s="3" t="s">
        <v>440</v>
      </c>
      <c r="C58" s="4">
        <f>SUMIFS([1]العمليات!G:G, [1]العمليات!B:B, A58, [1]العمليات!C:C, "إدخال") - SUMIFS([1]العمليات!G:G, [1]العمليات!B:B, A58, [1]العمليات!C:C, "إخراج")</f>
        <v>0</v>
      </c>
      <c r="D58" s="3" t="str">
        <f>IF(A58="","",IFERROR(LOOKUP(2,1/(([1]العمليات!$B$2:$B$1000=A58)*([1]العمليات!$H$2:$H$1000&lt;&gt;"")),[1]العمليات!$H$2:$H$1000),""))</f>
        <v/>
      </c>
      <c r="E58" s="3" t="str">
        <f>IF(A58="","",IFERROR(LOOKUP(2,1/(([1]العمليات!$B$2:$B$1000=A58)*([1]العمليات!$I$2:$I$1000&lt;&gt;"")),[1]العمليات!$I$2:$I$1000),""))</f>
        <v/>
      </c>
    </row>
    <row r="59" spans="1:5" x14ac:dyDescent="0.35">
      <c r="A59" s="5" t="s">
        <v>57</v>
      </c>
      <c r="B59" s="5" t="s">
        <v>58</v>
      </c>
      <c r="C59" s="6">
        <f>SUMIFS([1]العمليات!G:G, [1]العمليات!B:B, A59, [1]العمليات!C:C, "إدخال") - SUMIFS([1]العمليات!G:G, [1]العمليات!B:B, A59, [1]العمليات!C:C, "إخراج")</f>
        <v>700</v>
      </c>
      <c r="D59" s="5">
        <f>IF(A59="","",IFERROR(LOOKUP(2,1/(([1]العمليات!$B$2:$B$1000=A59)*([1]العمليات!$H$2:$H$1000&lt;&gt;"")),[1]العمليات!$H$2:$H$1000),""))</f>
        <v>6</v>
      </c>
      <c r="E59" s="5">
        <f>IF(A59="","",IFERROR(LOOKUP(2,1/(([1]العمليات!$B$2:$B$1000=A59)*([1]العمليات!$I$2:$I$1000&lt;&gt;"")),[1]العمليات!$I$2:$I$1000),""))</f>
        <v>4</v>
      </c>
    </row>
    <row r="60" spans="1:5" x14ac:dyDescent="0.35">
      <c r="A60" s="3" t="s">
        <v>441</v>
      </c>
      <c r="B60" s="3" t="s">
        <v>442</v>
      </c>
      <c r="C60" s="4">
        <f>SUMIFS([1]العمليات!G:G, [1]العمليات!B:B, A60, [1]العمليات!C:C, "إدخال") - SUMIFS([1]العمليات!G:G, [1]العمليات!B:B, A60, [1]العمليات!C:C, "إخراج")</f>
        <v>0</v>
      </c>
      <c r="D60" s="3" t="str">
        <f>IF(A60="","",IFERROR(LOOKUP(2,1/(([1]العمليات!$B$2:$B$1000=A60)*([1]العمليات!$H$2:$H$1000&lt;&gt;"")),[1]العمليات!$H$2:$H$1000),""))</f>
        <v/>
      </c>
      <c r="E60" s="3" t="str">
        <f>IF(A60="","",IFERROR(LOOKUP(2,1/(([1]العمليات!$B$2:$B$1000=A60)*([1]العمليات!$I$2:$I$1000&lt;&gt;"")),[1]العمليات!$I$2:$I$1000),""))</f>
        <v/>
      </c>
    </row>
    <row r="61" spans="1:5" x14ac:dyDescent="0.35">
      <c r="A61" s="5" t="s">
        <v>443</v>
      </c>
      <c r="B61" s="5" t="s">
        <v>444</v>
      </c>
      <c r="C61" s="6">
        <f>SUMIFS([1]العمليات!G:G, [1]العمليات!B:B, A61, [1]العمليات!C:C, "إدخال") - SUMIFS([1]العمليات!G:G, [1]العمليات!B:B, A61, [1]العمليات!C:C, "إخراج")</f>
        <v>0</v>
      </c>
      <c r="D61" s="5" t="str">
        <f>IF(A61="","",IFERROR(LOOKUP(2,1/(([1]العمليات!$B$2:$B$1000=A61)*([1]العمليات!$H$2:$H$1000&lt;&gt;"")),[1]العمليات!$H$2:$H$1000),""))</f>
        <v/>
      </c>
      <c r="E61" s="5" t="str">
        <f>IF(A61="","",IFERROR(LOOKUP(2,1/(([1]العمليات!$B$2:$B$1000=A61)*([1]العمليات!$I$2:$I$1000&lt;&gt;"")),[1]العمليات!$I$2:$I$1000),""))</f>
        <v/>
      </c>
    </row>
    <row r="62" spans="1:5" x14ac:dyDescent="0.35">
      <c r="A62" s="3" t="s">
        <v>59</v>
      </c>
      <c r="B62" s="3" t="s">
        <v>60</v>
      </c>
      <c r="C62" s="4">
        <f>SUMIFS([1]العمليات!G:G, [1]العمليات!B:B, A62, [1]العمليات!C:C, "إدخال") - SUMIFS([1]العمليات!G:G, [1]العمليات!B:B, A62, [1]العمليات!C:C, "إخراج")</f>
        <v>254</v>
      </c>
      <c r="D62" s="3">
        <f>IF(A62="","",IFERROR(LOOKUP(2,1/(([1]العمليات!$B$2:$B$1000=A62)*([1]العمليات!$H$2:$H$1000&lt;&gt;"")),[1]العمليات!$H$2:$H$1000),""))</f>
        <v>3</v>
      </c>
      <c r="E62" s="3">
        <f>IF(A62="","",IFERROR(LOOKUP(2,1/(([1]العمليات!$B$2:$B$1000=A62)*([1]العمليات!$I$2:$I$1000&lt;&gt;"")),[1]العمليات!$I$2:$I$1000),""))</f>
        <v>7</v>
      </c>
    </row>
    <row r="63" spans="1:5" x14ac:dyDescent="0.35">
      <c r="A63" s="5" t="s">
        <v>445</v>
      </c>
      <c r="B63" s="5" t="s">
        <v>446</v>
      </c>
      <c r="C63" s="6">
        <f>SUMIFS([1]العمليات!G:G, [1]العمليات!B:B, A63, [1]العمليات!C:C, "إدخال") - SUMIFS([1]العمليات!G:G, [1]العمليات!B:B, A63, [1]العمليات!C:C, "إخراج")</f>
        <v>0</v>
      </c>
      <c r="D63" s="5" t="str">
        <f>IF(A63="","",IFERROR(LOOKUP(2,1/(([1]العمليات!$B$2:$B$1000=A63)*([1]العمليات!$H$2:$H$1000&lt;&gt;"")),[1]العمليات!$H$2:$H$1000),""))</f>
        <v/>
      </c>
      <c r="E63" s="5" t="str">
        <f>IF(A63="","",IFERROR(LOOKUP(2,1/(([1]العمليات!$B$2:$B$1000=A63)*([1]العمليات!$I$2:$I$1000&lt;&gt;"")),[1]العمليات!$I$2:$I$1000),""))</f>
        <v/>
      </c>
    </row>
    <row r="64" spans="1:5" x14ac:dyDescent="0.35">
      <c r="A64" s="3" t="s">
        <v>61</v>
      </c>
      <c r="B64" s="3" t="s">
        <v>62</v>
      </c>
      <c r="C64" s="4">
        <f>SUMIFS([1]العمليات!G:G, [1]العمليات!B:B, A64, [1]العمليات!C:C, "إدخال") - SUMIFS([1]العمليات!G:G, [1]العمليات!B:B, A64, [1]العمليات!C:C, "إخراج")</f>
        <v>713</v>
      </c>
      <c r="D64" s="3">
        <f>IF(A64="","",IFERROR(LOOKUP(2,1/(([1]العمليات!$B$2:$B$1000=A64)*([1]العمليات!$H$2:$H$1000&lt;&gt;"")),[1]العمليات!$H$2:$H$1000),""))</f>
        <v>2</v>
      </c>
      <c r="E64" s="3">
        <f>IF(A64="","",IFERROR(LOOKUP(2,1/(([1]العمليات!$B$2:$B$1000=A64)*([1]العمليات!$I$2:$I$1000&lt;&gt;"")),[1]العمليات!$I$2:$I$1000),""))</f>
        <v>6</v>
      </c>
    </row>
    <row r="65" spans="1:5" x14ac:dyDescent="0.35">
      <c r="A65" s="5" t="s">
        <v>447</v>
      </c>
      <c r="B65" s="5" t="s">
        <v>448</v>
      </c>
      <c r="C65" s="6">
        <f>SUMIFS([1]العمليات!G:G, [1]العمليات!B:B, A65, [1]العمليات!C:C, "إدخال") - SUMIFS([1]العمليات!G:G, [1]العمليات!B:B, A65, [1]العمليات!C:C, "إخراج")</f>
        <v>0</v>
      </c>
      <c r="D65" s="5" t="str">
        <f>IF(A65="","",IFERROR(LOOKUP(2,1/(([1]العمليات!$B$2:$B$1000=A65)*([1]العمليات!$H$2:$H$1000&lt;&gt;"")),[1]العمليات!$H$2:$H$1000),""))</f>
        <v/>
      </c>
      <c r="E65" s="5" t="str">
        <f>IF(A65="","",IFERROR(LOOKUP(2,1/(([1]العمليات!$B$2:$B$1000=A65)*([1]العمليات!$I$2:$I$1000&lt;&gt;"")),[1]العمليات!$I$2:$I$1000),""))</f>
        <v/>
      </c>
    </row>
    <row r="66" spans="1:5" x14ac:dyDescent="0.35">
      <c r="A66" s="3" t="s">
        <v>63</v>
      </c>
      <c r="B66" s="3" t="s">
        <v>64</v>
      </c>
      <c r="C66" s="4">
        <f>SUMIFS([1]العمليات!G:G, [1]العمليات!B:B, A66, [1]العمليات!C:C, "إدخال") - SUMIFS([1]العمليات!G:G, [1]العمليات!B:B, A66, [1]العمليات!C:C, "إخراج")</f>
        <v>203</v>
      </c>
      <c r="D66" s="3">
        <f>IF(A66="","",IFERROR(LOOKUP(2,1/(([1]العمليات!$B$2:$B$1000=A66)*([1]العمليات!$H$2:$H$1000&lt;&gt;"")),[1]العمليات!$H$2:$H$1000),""))</f>
        <v>3</v>
      </c>
      <c r="E66" s="3" t="str">
        <f>IF(A66="","",IFERROR(LOOKUP(2,1/(([1]العمليات!$B$2:$B$1000=A66)*([1]العمليات!$I$2:$I$1000&lt;&gt;"")),[1]العمليات!$I$2:$I$1000),""))</f>
        <v>1ط2</v>
      </c>
    </row>
    <row r="67" spans="1:5" x14ac:dyDescent="0.35">
      <c r="A67" s="5" t="s">
        <v>65</v>
      </c>
      <c r="B67" s="5" t="s">
        <v>66</v>
      </c>
      <c r="C67" s="6">
        <f>SUMIFS([1]العمليات!G:G, [1]العمليات!B:B, A67, [1]العمليات!C:C, "إدخال") - SUMIFS([1]العمليات!G:G, [1]العمليات!B:B, A67, [1]العمليات!C:C, "إخراج")</f>
        <v>513</v>
      </c>
      <c r="D67" s="5">
        <f>IF(A67="","",IFERROR(LOOKUP(2,1/(([1]العمليات!$B$2:$B$1000=A67)*([1]العمليات!$H$2:$H$1000&lt;&gt;"")),[1]العمليات!$H$2:$H$1000),""))</f>
        <v>5</v>
      </c>
      <c r="E67" s="5">
        <f>IF(A67="","",IFERROR(LOOKUP(2,1/(([1]العمليات!$B$2:$B$1000=A67)*([1]العمليات!$I$2:$I$1000&lt;&gt;"")),[1]العمليات!$I$2:$I$1000),""))</f>
        <v>6</v>
      </c>
    </row>
    <row r="68" spans="1:5" x14ac:dyDescent="0.35">
      <c r="A68" s="3" t="s">
        <v>449</v>
      </c>
      <c r="B68" s="3" t="s">
        <v>450</v>
      </c>
      <c r="C68" s="4">
        <f>SUMIFS([1]العمليات!G:G, [1]العمليات!B:B, A68, [1]العمليات!C:C, "إدخال") - SUMIFS([1]العمليات!G:G, [1]العمليات!B:B, A68, [1]العمليات!C:C, "إخراج")</f>
        <v>0</v>
      </c>
      <c r="D68" s="3" t="str">
        <f>IF(A68="","",IFERROR(LOOKUP(2,1/(([1]العمليات!$B$2:$B$1000=A68)*([1]العمليات!$H$2:$H$1000&lt;&gt;"")),[1]العمليات!$H$2:$H$1000),""))</f>
        <v/>
      </c>
      <c r="E68" s="3" t="str">
        <f>IF(A68="","",IFERROR(LOOKUP(2,1/(([1]العمليات!$B$2:$B$1000=A68)*([1]العمليات!$I$2:$I$1000&lt;&gt;"")),[1]العمليات!$I$2:$I$1000),""))</f>
        <v/>
      </c>
    </row>
    <row r="69" spans="1:5" x14ac:dyDescent="0.35">
      <c r="A69" s="5" t="s">
        <v>451</v>
      </c>
      <c r="B69" s="5" t="s">
        <v>452</v>
      </c>
      <c r="C69" s="6">
        <f>SUMIFS([1]العمليات!G:G, [1]العمليات!B:B, A69, [1]العمليات!C:C, "إدخال") - SUMIFS([1]العمليات!G:G, [1]العمليات!B:B, A69, [1]العمليات!C:C, "إخراج")</f>
        <v>0</v>
      </c>
      <c r="D69" s="5" t="str">
        <f>IF(A69="","",IFERROR(LOOKUP(2,1/(([1]العمليات!$B$2:$B$1000=A69)*([1]العمليات!$H$2:$H$1000&lt;&gt;"")),[1]العمليات!$H$2:$H$1000),""))</f>
        <v/>
      </c>
      <c r="E69" s="5" t="str">
        <f>IF(A69="","",IFERROR(LOOKUP(2,1/(([1]العمليات!$B$2:$B$1000=A69)*([1]العمليات!$I$2:$I$1000&lt;&gt;"")),[1]العمليات!$I$2:$I$1000),""))</f>
        <v/>
      </c>
    </row>
    <row r="70" spans="1:5" x14ac:dyDescent="0.35">
      <c r="A70" s="3" t="s">
        <v>453</v>
      </c>
      <c r="B70" s="3" t="s">
        <v>454</v>
      </c>
      <c r="C70" s="4">
        <f>SUMIFS([1]العمليات!G:G, [1]العمليات!B:B, A70, [1]العمليات!C:C, "إدخال") - SUMIFS([1]العمليات!G:G, [1]العمليات!B:B, A70, [1]العمليات!C:C, "إخراج")</f>
        <v>0</v>
      </c>
      <c r="D70" s="3" t="str">
        <f>IF(A70="","",IFERROR(LOOKUP(2,1/(([1]العمليات!$B$2:$B$1000=A70)*([1]العمليات!$H$2:$H$1000&lt;&gt;"")),[1]العمليات!$H$2:$H$1000),""))</f>
        <v/>
      </c>
      <c r="E70" s="3" t="str">
        <f>IF(A70="","",IFERROR(LOOKUP(2,1/(([1]العمليات!$B$2:$B$1000=A70)*([1]العمليات!$I$2:$I$1000&lt;&gt;"")),[1]العمليات!$I$2:$I$1000),""))</f>
        <v/>
      </c>
    </row>
    <row r="71" spans="1:5" x14ac:dyDescent="0.35">
      <c r="A71" s="5" t="s">
        <v>455</v>
      </c>
      <c r="B71" s="5" t="s">
        <v>456</v>
      </c>
      <c r="C71" s="6">
        <f>SUMIFS([1]العمليات!G:G, [1]العمليات!B:B, A71, [1]العمليات!C:C, "إدخال") - SUMIFS([1]العمليات!G:G, [1]العمليات!B:B, A71, [1]العمليات!C:C, "إخراج")</f>
        <v>0</v>
      </c>
      <c r="D71" s="5" t="str">
        <f>IF(A71="","",IFERROR(LOOKUP(2,1/(([1]العمليات!$B$2:$B$1000=A71)*([1]العمليات!$H$2:$H$1000&lt;&gt;"")),[1]العمليات!$H$2:$H$1000),""))</f>
        <v/>
      </c>
      <c r="E71" s="5" t="str">
        <f>IF(A71="","",IFERROR(LOOKUP(2,1/(([1]العمليات!$B$2:$B$1000=A71)*([1]العمليات!$I$2:$I$1000&lt;&gt;"")),[1]العمليات!$I$2:$I$1000),""))</f>
        <v/>
      </c>
    </row>
    <row r="72" spans="1:5" x14ac:dyDescent="0.35">
      <c r="A72" s="3" t="s">
        <v>67</v>
      </c>
      <c r="B72" s="3" t="s">
        <v>68</v>
      </c>
      <c r="C72" s="4">
        <f>SUMIFS([1]العمليات!G:G, [1]العمليات!B:B, A72, [1]العمليات!C:C, "إدخال") - SUMIFS([1]العمليات!G:G, [1]العمليات!B:B, A72, [1]العمليات!C:C, "إخراج")</f>
        <v>710</v>
      </c>
      <c r="D72" s="3">
        <f>IF(A72="","",IFERROR(LOOKUP(2,1/(([1]العمليات!$B$2:$B$1000=A72)*([1]العمليات!$H$2:$H$1000&lt;&gt;"")),[1]العمليات!$H$2:$H$1000),""))</f>
        <v>2</v>
      </c>
      <c r="E72" s="3">
        <f>IF(A72="","",IFERROR(LOOKUP(2,1/(([1]العمليات!$B$2:$B$1000=A72)*([1]العمليات!$I$2:$I$1000&lt;&gt;"")),[1]العمليات!$I$2:$I$1000),""))</f>
        <v>4</v>
      </c>
    </row>
    <row r="73" spans="1:5" x14ac:dyDescent="0.35">
      <c r="A73" s="5" t="s">
        <v>457</v>
      </c>
      <c r="B73" s="5" t="s">
        <v>458</v>
      </c>
      <c r="C73" s="6">
        <f>SUMIFS([1]العمليات!G:G, [1]العمليات!B:B, A73, [1]العمليات!C:C, "إدخال") - SUMIFS([1]العمليات!G:G, [1]العمليات!B:B, A73, [1]العمليات!C:C, "إخراج")</f>
        <v>0</v>
      </c>
      <c r="D73" s="5" t="str">
        <f>IF(A73="","",IFERROR(LOOKUP(2,1/(([1]العمليات!$B$2:$B$1000=A73)*([1]العمليات!$H$2:$H$1000&lt;&gt;"")),[1]العمليات!$H$2:$H$1000),""))</f>
        <v/>
      </c>
      <c r="E73" s="5" t="str">
        <f>IF(A73="","",IFERROR(LOOKUP(2,1/(([1]العمليات!$B$2:$B$1000=A73)*([1]العمليات!$I$2:$I$1000&lt;&gt;"")),[1]العمليات!$I$2:$I$1000),""))</f>
        <v/>
      </c>
    </row>
    <row r="74" spans="1:5" x14ac:dyDescent="0.35">
      <c r="A74" s="3" t="s">
        <v>459</v>
      </c>
      <c r="B74" s="3" t="s">
        <v>460</v>
      </c>
      <c r="C74" s="4">
        <f>SUMIFS([1]العمليات!G:G, [1]العمليات!B:B, A74, [1]العمليات!C:C, "إدخال") - SUMIFS([1]العمليات!G:G, [1]العمليات!B:B, A74, [1]العمليات!C:C, "إخراج")</f>
        <v>0</v>
      </c>
      <c r="D74" s="3" t="str">
        <f>IF(A74="","",IFERROR(LOOKUP(2,1/(([1]العمليات!$B$2:$B$1000=A74)*([1]العمليات!$H$2:$H$1000&lt;&gt;"")),[1]العمليات!$H$2:$H$1000),""))</f>
        <v/>
      </c>
      <c r="E74" s="3" t="str">
        <f>IF(A74="","",IFERROR(LOOKUP(2,1/(([1]العمليات!$B$2:$B$1000=A74)*([1]العمليات!$I$2:$I$1000&lt;&gt;"")),[1]العمليات!$I$2:$I$1000),""))</f>
        <v/>
      </c>
    </row>
    <row r="75" spans="1:5" x14ac:dyDescent="0.35">
      <c r="A75" s="5" t="s">
        <v>69</v>
      </c>
      <c r="B75" s="5" t="s">
        <v>70</v>
      </c>
      <c r="C75" s="6">
        <f>SUMIFS([1]العمليات!G:G, [1]العمليات!B:B, A75, [1]العمليات!C:C, "إدخال") - SUMIFS([1]العمليات!G:G, [1]العمليات!B:B, A75, [1]العمليات!C:C, "إخراج")</f>
        <v>416</v>
      </c>
      <c r="D75" s="5">
        <f>IF(A75="","",IFERROR(LOOKUP(2,1/(([1]العمليات!$B$2:$B$1000=A75)*([1]العمليات!$H$2:$H$1000&lt;&gt;"")),[1]العمليات!$H$2:$H$1000),""))</f>
        <v>5</v>
      </c>
      <c r="E75" s="5">
        <f>IF(A75="","",IFERROR(LOOKUP(2,1/(([1]العمليات!$B$2:$B$1000=A75)*([1]العمليات!$I$2:$I$1000&lt;&gt;"")),[1]العمليات!$I$2:$I$1000),""))</f>
        <v>1</v>
      </c>
    </row>
    <row r="76" spans="1:5" x14ac:dyDescent="0.35">
      <c r="A76" s="3" t="s">
        <v>461</v>
      </c>
      <c r="B76" s="3" t="s">
        <v>462</v>
      </c>
      <c r="C76" s="4">
        <f>SUMIFS([1]العمليات!G:G, [1]العمليات!B:B, A76, [1]العمليات!C:C, "إدخال") - SUMIFS([1]العمليات!G:G, [1]العمليات!B:B, A76, [1]العمليات!C:C, "إخراج")</f>
        <v>0</v>
      </c>
      <c r="D76" s="3" t="str">
        <f>IF(A76="","",IFERROR(LOOKUP(2,1/(([1]العمليات!$B$2:$B$1000=A76)*([1]العمليات!$H$2:$H$1000&lt;&gt;"")),[1]العمليات!$H$2:$H$1000),""))</f>
        <v/>
      </c>
      <c r="E76" s="3" t="str">
        <f>IF(A76="","",IFERROR(LOOKUP(2,1/(([1]العمليات!$B$2:$B$1000=A76)*([1]العمليات!$I$2:$I$1000&lt;&gt;"")),[1]العمليات!$I$2:$I$1000),""))</f>
        <v/>
      </c>
    </row>
    <row r="77" spans="1:5" x14ac:dyDescent="0.35">
      <c r="A77" s="5" t="s">
        <v>463</v>
      </c>
      <c r="B77" s="5" t="s">
        <v>464</v>
      </c>
      <c r="C77" s="6">
        <f>SUMIFS([1]العمليات!G:G, [1]العمليات!B:B, A77, [1]العمليات!C:C, "إدخال") - SUMIFS([1]العمليات!G:G, [1]العمليات!B:B, A77, [1]العمليات!C:C, "إخراج")</f>
        <v>0</v>
      </c>
      <c r="D77" s="5" t="str">
        <f>IF(A77="","",IFERROR(LOOKUP(2,1/(([1]العمليات!$B$2:$B$1000=A77)*([1]العمليات!$H$2:$H$1000&lt;&gt;"")),[1]العمليات!$H$2:$H$1000),""))</f>
        <v/>
      </c>
      <c r="E77" s="5" t="str">
        <f>IF(A77="","",IFERROR(LOOKUP(2,1/(([1]العمليات!$B$2:$B$1000=A77)*([1]العمليات!$I$2:$I$1000&lt;&gt;"")),[1]العمليات!$I$2:$I$1000),""))</f>
        <v/>
      </c>
    </row>
    <row r="78" spans="1:5" x14ac:dyDescent="0.35">
      <c r="A78" s="3" t="s">
        <v>465</v>
      </c>
      <c r="B78" s="3" t="s">
        <v>466</v>
      </c>
      <c r="C78" s="4">
        <f>SUMIFS([1]العمليات!G:G, [1]العمليات!B:B, A78, [1]العمليات!C:C, "إدخال") - SUMIFS([1]العمليات!G:G, [1]العمليات!B:B, A78, [1]العمليات!C:C, "إخراج")</f>
        <v>0</v>
      </c>
      <c r="D78" s="3" t="str">
        <f>IF(A78="","",IFERROR(LOOKUP(2,1/(([1]العمليات!$B$2:$B$1000=A78)*([1]العمليات!$H$2:$H$1000&lt;&gt;"")),[1]العمليات!$H$2:$H$1000),""))</f>
        <v/>
      </c>
      <c r="E78" s="3" t="str">
        <f>IF(A78="","",IFERROR(LOOKUP(2,1/(([1]العمليات!$B$2:$B$1000=A78)*([1]العمليات!$I$2:$I$1000&lt;&gt;"")),[1]العمليات!$I$2:$I$1000),""))</f>
        <v/>
      </c>
    </row>
    <row r="79" spans="1:5" x14ac:dyDescent="0.35">
      <c r="A79" s="5" t="s">
        <v>71</v>
      </c>
      <c r="B79" s="5" t="s">
        <v>72</v>
      </c>
      <c r="C79" s="6">
        <f>SUMIFS([1]العمليات!G:G, [1]العمليات!B:B, A79, [1]العمليات!C:C, "إدخال") - SUMIFS([1]العمليات!G:G, [1]العمليات!B:B, A79, [1]العمليات!C:C, "إخراج")</f>
        <v>505</v>
      </c>
      <c r="D79" s="5">
        <f>IF(A79="","",IFERROR(LOOKUP(2,1/(([1]العمليات!$B$2:$B$1000=A79)*([1]العمليات!$H$2:$H$1000&lt;&gt;"")),[1]العمليات!$H$2:$H$1000),""))</f>
        <v>2</v>
      </c>
      <c r="E79" s="5">
        <f>IF(A79="","",IFERROR(LOOKUP(2,1/(([1]العمليات!$B$2:$B$1000=A79)*([1]العمليات!$I$2:$I$1000&lt;&gt;"")),[1]العمليات!$I$2:$I$1000),""))</f>
        <v>4</v>
      </c>
    </row>
    <row r="80" spans="1:5" x14ac:dyDescent="0.35">
      <c r="A80" s="3" t="s">
        <v>73</v>
      </c>
      <c r="B80" s="3" t="s">
        <v>74</v>
      </c>
      <c r="C80" s="4">
        <f>SUMIFS([1]العمليات!G:G, [1]العمليات!B:B, A80, [1]العمليات!C:C, "إدخال") - SUMIFS([1]العمليات!G:G, [1]العمليات!B:B, A80, [1]العمليات!C:C, "إخراج")</f>
        <v>659</v>
      </c>
      <c r="D80" s="3">
        <f>IF(A80="","",IFERROR(LOOKUP(2,1/(([1]العمليات!$B$2:$B$1000=A80)*([1]العمليات!$H$2:$H$1000&lt;&gt;"")),[1]العمليات!$H$2:$H$1000),""))</f>
        <v>4</v>
      </c>
      <c r="E80" s="3">
        <f>IF(A80="","",IFERROR(LOOKUP(2,1/(([1]العمليات!$B$2:$B$1000=A80)*([1]العمليات!$I$2:$I$1000&lt;&gt;"")),[1]العمليات!$I$2:$I$1000),""))</f>
        <v>1</v>
      </c>
    </row>
    <row r="81" spans="1:5" x14ac:dyDescent="0.35">
      <c r="A81" s="5" t="s">
        <v>467</v>
      </c>
      <c r="B81" s="5" t="s">
        <v>468</v>
      </c>
      <c r="C81" s="6">
        <f>SUMIFS([1]العمليات!G:G, [1]العمليات!B:B, A81, [1]العمليات!C:C, "إدخال") - SUMIFS([1]العمليات!G:G, [1]العمليات!B:B, A81, [1]العمليات!C:C, "إخراج")</f>
        <v>0</v>
      </c>
      <c r="D81" s="5" t="str">
        <f>IF(A81="","",IFERROR(LOOKUP(2,1/(([1]العمليات!$B$2:$B$1000=A81)*([1]العمليات!$H$2:$H$1000&lt;&gt;"")),[1]العمليات!$H$2:$H$1000),""))</f>
        <v/>
      </c>
      <c r="E81" s="5" t="str">
        <f>IF(A81="","",IFERROR(LOOKUP(2,1/(([1]العمليات!$B$2:$B$1000=A81)*([1]العمليات!$I$2:$I$1000&lt;&gt;"")),[1]العمليات!$I$2:$I$1000),""))</f>
        <v/>
      </c>
    </row>
    <row r="82" spans="1:5" x14ac:dyDescent="0.35">
      <c r="A82" s="3" t="s">
        <v>469</v>
      </c>
      <c r="B82" s="3" t="s">
        <v>470</v>
      </c>
      <c r="C82" s="4">
        <f>SUMIFS([1]العمليات!G:G, [1]العمليات!B:B, A82, [1]العمليات!C:C, "إدخال") - SUMIFS([1]العمليات!G:G, [1]العمليات!B:B, A82, [1]العمليات!C:C, "إخراج")</f>
        <v>0</v>
      </c>
      <c r="D82" s="3" t="str">
        <f>IF(A82="","",IFERROR(LOOKUP(2,1/(([1]العمليات!$B$2:$B$1000=A82)*([1]العمليات!$H$2:$H$1000&lt;&gt;"")),[1]العمليات!$H$2:$H$1000),""))</f>
        <v/>
      </c>
      <c r="E82" s="3" t="str">
        <f>IF(A82="","",IFERROR(LOOKUP(2,1/(([1]العمليات!$B$2:$B$1000=A82)*([1]العمليات!$I$2:$I$1000&lt;&gt;"")),[1]العمليات!$I$2:$I$1000),""))</f>
        <v/>
      </c>
    </row>
    <row r="83" spans="1:5" x14ac:dyDescent="0.35">
      <c r="A83" s="5" t="s">
        <v>471</v>
      </c>
      <c r="B83" s="5" t="s">
        <v>472</v>
      </c>
      <c r="C83" s="6">
        <f>SUMIFS([1]العمليات!G:G, [1]العمليات!B:B, A83, [1]العمليات!C:C, "إدخال") - SUMIFS([1]العمليات!G:G, [1]العمليات!B:B, A83, [1]العمليات!C:C, "إخراج")</f>
        <v>0</v>
      </c>
      <c r="D83" s="5" t="str">
        <f>IF(A83="","",IFERROR(LOOKUP(2,1/(([1]العمليات!$B$2:$B$1000=A83)*([1]العمليات!$H$2:$H$1000&lt;&gt;"")),[1]العمليات!$H$2:$H$1000),""))</f>
        <v/>
      </c>
      <c r="E83" s="5" t="str">
        <f>IF(A83="","",IFERROR(LOOKUP(2,1/(([1]العمليات!$B$2:$B$1000=A83)*([1]العمليات!$I$2:$I$1000&lt;&gt;"")),[1]العمليات!$I$2:$I$1000),""))</f>
        <v/>
      </c>
    </row>
    <row r="84" spans="1:5" x14ac:dyDescent="0.35">
      <c r="A84" s="3" t="s">
        <v>75</v>
      </c>
      <c r="B84" s="3" t="s">
        <v>76</v>
      </c>
      <c r="C84" s="4">
        <f>SUMIFS([1]العمليات!G:G, [1]العمليات!B:B, A84, [1]العمليات!C:C, "إدخال") - SUMIFS([1]العمليات!G:G, [1]العمليات!B:B, A84, [1]العمليات!C:C, "إخراج")</f>
        <v>383</v>
      </c>
      <c r="D84" s="3">
        <f>IF(A84="","",IFERROR(LOOKUP(2,1/(([1]العمليات!$B$2:$B$1000=A84)*([1]العمليات!$H$2:$H$1000&lt;&gt;"")),[1]العمليات!$H$2:$H$1000),""))</f>
        <v>3</v>
      </c>
      <c r="E84" s="3">
        <f>IF(A84="","",IFERROR(LOOKUP(2,1/(([1]العمليات!$B$2:$B$1000=A84)*([1]العمليات!$I$2:$I$1000&lt;&gt;"")),[1]العمليات!$I$2:$I$1000),""))</f>
        <v>2</v>
      </c>
    </row>
    <row r="85" spans="1:5" x14ac:dyDescent="0.35">
      <c r="A85" s="5" t="s">
        <v>77</v>
      </c>
      <c r="B85" s="5" t="s">
        <v>78</v>
      </c>
      <c r="C85" s="6">
        <f>SUMIFS([1]العمليات!G:G, [1]العمليات!B:B, A85, [1]العمليات!C:C, "إدخال") - SUMIFS([1]العمليات!G:G, [1]العمليات!B:B, A85, [1]العمليات!C:C, "إخراج")</f>
        <v>2000</v>
      </c>
      <c r="D85" s="5">
        <f>IF(A85="","",IFERROR(LOOKUP(2,1/(([1]العمليات!$B$2:$B$1000=A85)*([1]العمليات!$H$2:$H$1000&lt;&gt;"")),[1]العمليات!$H$2:$H$1000),""))</f>
        <v>1</v>
      </c>
      <c r="E85" s="5">
        <f>IF(A85="","",IFERROR(LOOKUP(2,1/(([1]العمليات!$B$2:$B$1000=A85)*([1]العمليات!$I$2:$I$1000&lt;&gt;"")),[1]العمليات!$I$2:$I$1000),""))</f>
        <v>1</v>
      </c>
    </row>
    <row r="86" spans="1:5" x14ac:dyDescent="0.35">
      <c r="A86" s="3" t="s">
        <v>79</v>
      </c>
      <c r="B86" s="3" t="s">
        <v>80</v>
      </c>
      <c r="C86" s="4">
        <f>SUMIFS([1]العمليات!G:G, [1]العمليات!B:B, A86, [1]العمليات!C:C, "إدخال") - SUMIFS([1]العمليات!G:G, [1]العمليات!B:B, A86, [1]العمليات!C:C, "إخراج")</f>
        <v>2029</v>
      </c>
      <c r="D86" s="3">
        <f>IF(A86="","",IFERROR(LOOKUP(2,1/(([1]العمليات!$B$2:$B$1000=A86)*([1]العمليات!$H$2:$H$1000&lt;&gt;"")),[1]العمليات!$H$2:$H$1000),""))</f>
        <v>3</v>
      </c>
      <c r="E86" s="3">
        <f>IF(A86="","",IFERROR(LOOKUP(2,1/(([1]العمليات!$B$2:$B$1000=A86)*([1]العمليات!$I$2:$I$1000&lt;&gt;"")),[1]العمليات!$I$2:$I$1000),""))</f>
        <v>3</v>
      </c>
    </row>
    <row r="87" spans="1:5" x14ac:dyDescent="0.35">
      <c r="A87" s="5" t="s">
        <v>81</v>
      </c>
      <c r="B87" s="5" t="s">
        <v>82</v>
      </c>
      <c r="C87" s="6">
        <f>SUMIFS([1]العمليات!G:G, [1]العمليات!B:B, A87, [1]العمليات!C:C, "إدخال") - SUMIFS([1]العمليات!G:G, [1]العمليات!B:B, A87, [1]العمليات!C:C, "إخراج")</f>
        <v>302</v>
      </c>
      <c r="D87" s="5">
        <f>IF(A87="","",IFERROR(LOOKUP(2,1/(([1]العمليات!$B$2:$B$1000=A87)*([1]العمليات!$H$2:$H$1000&lt;&gt;"")),[1]العمليات!$H$2:$H$1000),""))</f>
        <v>3</v>
      </c>
      <c r="E87" s="5" t="str">
        <f>IF(A87="","",IFERROR(LOOKUP(2,1/(([1]العمليات!$B$2:$B$1000=A87)*([1]العمليات!$I$2:$I$1000&lt;&gt;"")),[1]العمليات!$I$2:$I$1000),""))</f>
        <v>1ط2</v>
      </c>
    </row>
    <row r="88" spans="1:5" x14ac:dyDescent="0.35">
      <c r="A88" s="3" t="s">
        <v>473</v>
      </c>
      <c r="B88" s="3" t="s">
        <v>474</v>
      </c>
      <c r="C88" s="4">
        <f>SUMIFS([1]العمليات!G:G, [1]العمليات!B:B, A88, [1]العمليات!C:C, "إدخال") - SUMIFS([1]العمليات!G:G, [1]العمليات!B:B, A88, [1]العمليات!C:C, "إخراج")</f>
        <v>0</v>
      </c>
      <c r="D88" s="3" t="str">
        <f>IF(A88="","",IFERROR(LOOKUP(2,1/(([1]العمليات!$B$2:$B$1000=A88)*([1]العمليات!$H$2:$H$1000&lt;&gt;"")),[1]العمليات!$H$2:$H$1000),""))</f>
        <v/>
      </c>
      <c r="E88" s="3" t="str">
        <f>IF(A88="","",IFERROR(LOOKUP(2,1/(([1]العمليات!$B$2:$B$1000=A88)*([1]العمليات!$I$2:$I$1000&lt;&gt;"")),[1]العمليات!$I$2:$I$1000),""))</f>
        <v/>
      </c>
    </row>
    <row r="89" spans="1:5" x14ac:dyDescent="0.35">
      <c r="A89" s="5" t="s">
        <v>475</v>
      </c>
      <c r="B89" s="5" t="s">
        <v>476</v>
      </c>
      <c r="C89" s="6">
        <f>SUMIFS([1]العمليات!G:G, [1]العمليات!B:B, A89, [1]العمليات!C:C, "إدخال") - SUMIFS([1]العمليات!G:G, [1]العمليات!B:B, A89, [1]العمليات!C:C, "إخراج")</f>
        <v>0</v>
      </c>
      <c r="D89" s="5" t="str">
        <f>IF(A89="","",IFERROR(LOOKUP(2,1/(([1]العمليات!$B$2:$B$1000=A89)*([1]العمليات!$H$2:$H$1000&lt;&gt;"")),[1]العمليات!$H$2:$H$1000),""))</f>
        <v/>
      </c>
      <c r="E89" s="5" t="str">
        <f>IF(A89="","",IFERROR(LOOKUP(2,1/(([1]العمليات!$B$2:$B$1000=A89)*([1]العمليات!$I$2:$I$1000&lt;&gt;"")),[1]العمليات!$I$2:$I$1000),""))</f>
        <v/>
      </c>
    </row>
    <row r="90" spans="1:5" x14ac:dyDescent="0.35">
      <c r="A90" s="3" t="s">
        <v>477</v>
      </c>
      <c r="B90" s="3" t="s">
        <v>478</v>
      </c>
      <c r="C90" s="4">
        <f>SUMIFS([1]العمليات!G:G, [1]العمليات!B:B, A90, [1]العمليات!C:C, "إدخال") - SUMIFS([1]العمليات!G:G, [1]العمليات!B:B, A90, [1]العمليات!C:C, "إخراج")</f>
        <v>0</v>
      </c>
      <c r="D90" s="3" t="str">
        <f>IF(A90="","",IFERROR(LOOKUP(2,1/(([1]العمليات!$B$2:$B$1000=A90)*([1]العمليات!$H$2:$H$1000&lt;&gt;"")),[1]العمليات!$H$2:$H$1000),""))</f>
        <v/>
      </c>
      <c r="E90" s="3" t="str">
        <f>IF(A90="","",IFERROR(LOOKUP(2,1/(([1]العمليات!$B$2:$B$1000=A90)*([1]العمليات!$I$2:$I$1000&lt;&gt;"")),[1]العمليات!$I$2:$I$1000),""))</f>
        <v/>
      </c>
    </row>
    <row r="91" spans="1:5" x14ac:dyDescent="0.35">
      <c r="A91" s="5" t="s">
        <v>479</v>
      </c>
      <c r="B91" s="5" t="s">
        <v>480</v>
      </c>
      <c r="C91" s="6">
        <f>SUMIFS([1]العمليات!G:G, [1]العمليات!B:B, A91, [1]العمليات!C:C, "إدخال") - SUMIFS([1]العمليات!G:G, [1]العمليات!B:B, A91, [1]العمليات!C:C, "إخراج")</f>
        <v>0</v>
      </c>
      <c r="D91" s="5" t="str">
        <f>IF(A91="","",IFERROR(LOOKUP(2,1/(([1]العمليات!$B$2:$B$1000=A91)*([1]العمليات!$H$2:$H$1000&lt;&gt;"")),[1]العمليات!$H$2:$H$1000),""))</f>
        <v/>
      </c>
      <c r="E91" s="5" t="str">
        <f>IF(A91="","",IFERROR(LOOKUP(2,1/(([1]العمليات!$B$2:$B$1000=A91)*([1]العمليات!$I$2:$I$1000&lt;&gt;"")),[1]العمليات!$I$2:$I$1000),""))</f>
        <v/>
      </c>
    </row>
    <row r="92" spans="1:5" x14ac:dyDescent="0.35">
      <c r="A92" s="3" t="s">
        <v>83</v>
      </c>
      <c r="B92" s="3" t="s">
        <v>84</v>
      </c>
      <c r="C92" s="4">
        <f>SUMIFS([1]العمليات!G:G, [1]العمليات!B:B, A92, [1]العمليات!C:C, "إدخال") - SUMIFS([1]العمليات!G:G, [1]العمليات!B:B, A92, [1]العمليات!C:C, "إخراج")</f>
        <v>1013</v>
      </c>
      <c r="D92" s="3">
        <f>IF(A92="","",IFERROR(LOOKUP(2,1/(([1]العمليات!$B$2:$B$1000=A92)*([1]العمليات!$H$2:$H$1000&lt;&gt;"")),[1]العمليات!$H$2:$H$1000),""))</f>
        <v>4</v>
      </c>
      <c r="E92" s="3">
        <f>IF(A92="","",IFERROR(LOOKUP(2,1/(([1]العمليات!$B$2:$B$1000=A92)*([1]العمليات!$I$2:$I$1000&lt;&gt;"")),[1]العمليات!$I$2:$I$1000),""))</f>
        <v>5</v>
      </c>
    </row>
    <row r="93" spans="1:5" x14ac:dyDescent="0.35">
      <c r="A93" s="5" t="s">
        <v>481</v>
      </c>
      <c r="B93" s="5" t="s">
        <v>482</v>
      </c>
      <c r="C93" s="6">
        <f>SUMIFS([1]العمليات!G:G, [1]العمليات!B:B, A93, [1]العمليات!C:C, "إدخال") - SUMIFS([1]العمليات!G:G, [1]العمليات!B:B, A93, [1]العمليات!C:C, "إخراج")</f>
        <v>0</v>
      </c>
      <c r="D93" s="5" t="str">
        <f>IF(A93="","",IFERROR(LOOKUP(2,1/(([1]العمليات!$B$2:$B$1000=A93)*([1]العمليات!$H$2:$H$1000&lt;&gt;"")),[1]العمليات!$H$2:$H$1000),""))</f>
        <v/>
      </c>
      <c r="E93" s="5" t="str">
        <f>IF(A93="","",IFERROR(LOOKUP(2,1/(([1]العمليات!$B$2:$B$1000=A93)*([1]العمليات!$I$2:$I$1000&lt;&gt;"")),[1]العمليات!$I$2:$I$1000),""))</f>
        <v/>
      </c>
    </row>
    <row r="94" spans="1:5" x14ac:dyDescent="0.35">
      <c r="A94" s="3" t="s">
        <v>483</v>
      </c>
      <c r="B94" s="3" t="s">
        <v>484</v>
      </c>
      <c r="C94" s="4">
        <f>SUMIFS([1]العمليات!G:G, [1]العمليات!B:B, A94, [1]العمليات!C:C, "إدخال") - SUMIFS([1]العمليات!G:G, [1]العمليات!B:B, A94, [1]العمليات!C:C, "إخراج")</f>
        <v>0</v>
      </c>
      <c r="D94" s="3" t="str">
        <f>IF(A94="","",IFERROR(LOOKUP(2,1/(([1]العمليات!$B$2:$B$1000=A94)*([1]العمليات!$H$2:$H$1000&lt;&gt;"")),[1]العمليات!$H$2:$H$1000),""))</f>
        <v/>
      </c>
      <c r="E94" s="3" t="str">
        <f>IF(A94="","",IFERROR(LOOKUP(2,1/(([1]العمليات!$B$2:$B$1000=A94)*([1]العمليات!$I$2:$I$1000&lt;&gt;"")),[1]العمليات!$I$2:$I$1000),""))</f>
        <v/>
      </c>
    </row>
    <row r="95" spans="1:5" x14ac:dyDescent="0.35">
      <c r="A95" s="5" t="s">
        <v>485</v>
      </c>
      <c r="B95" s="5" t="s">
        <v>486</v>
      </c>
      <c r="C95" s="6">
        <f>SUMIFS([1]العمليات!G:G, [1]العمليات!B:B, A95, [1]العمليات!C:C, "إدخال") - SUMIFS([1]العمليات!G:G, [1]العمليات!B:B, A95, [1]العمليات!C:C, "إخراج")</f>
        <v>0</v>
      </c>
      <c r="D95" s="5" t="str">
        <f>IF(A95="","",IFERROR(LOOKUP(2,1/(([1]العمليات!$B$2:$B$1000=A95)*([1]العمليات!$H$2:$H$1000&lt;&gt;"")),[1]العمليات!$H$2:$H$1000),""))</f>
        <v/>
      </c>
      <c r="E95" s="5" t="str">
        <f>IF(A95="","",IFERROR(LOOKUP(2,1/(([1]العمليات!$B$2:$B$1000=A95)*([1]العمليات!$I$2:$I$1000&lt;&gt;"")),[1]العمليات!$I$2:$I$1000),""))</f>
        <v/>
      </c>
    </row>
    <row r="96" spans="1:5" x14ac:dyDescent="0.35">
      <c r="A96" s="3" t="s">
        <v>487</v>
      </c>
      <c r="B96" s="3" t="s">
        <v>488</v>
      </c>
      <c r="C96" s="4">
        <f>SUMIFS([1]العمليات!G:G, [1]العمليات!B:B, A96, [1]العمليات!C:C, "إدخال") - SUMIFS([1]العمليات!G:G, [1]العمليات!B:B, A96, [1]العمليات!C:C, "إخراج")</f>
        <v>0</v>
      </c>
      <c r="D96" s="3" t="str">
        <f>IF(A96="","",IFERROR(LOOKUP(2,1/(([1]العمليات!$B$2:$B$1000=A96)*([1]العمليات!$H$2:$H$1000&lt;&gt;"")),[1]العمليات!$H$2:$H$1000),""))</f>
        <v/>
      </c>
      <c r="E96" s="3" t="str">
        <f>IF(A96="","",IFERROR(LOOKUP(2,1/(([1]العمليات!$B$2:$B$1000=A96)*([1]العمليات!$I$2:$I$1000&lt;&gt;"")),[1]العمليات!$I$2:$I$1000),""))</f>
        <v/>
      </c>
    </row>
    <row r="97" spans="1:5" x14ac:dyDescent="0.35">
      <c r="A97" s="5" t="s">
        <v>489</v>
      </c>
      <c r="B97" s="5" t="s">
        <v>490</v>
      </c>
      <c r="C97" s="6">
        <f>SUMIFS([1]العمليات!G:G, [1]العمليات!B:B, A97, [1]العمليات!C:C, "إدخال") - SUMIFS([1]العمليات!G:G, [1]العمليات!B:B, A97, [1]العمليات!C:C, "إخراج")</f>
        <v>0</v>
      </c>
      <c r="D97" s="5" t="str">
        <f>IF(A97="","",IFERROR(LOOKUP(2,1/(([1]العمليات!$B$2:$B$1000=A97)*([1]العمليات!$H$2:$H$1000&lt;&gt;"")),[1]العمليات!$H$2:$H$1000),""))</f>
        <v/>
      </c>
      <c r="E97" s="5" t="str">
        <f>IF(A97="","",IFERROR(LOOKUP(2,1/(([1]العمليات!$B$2:$B$1000=A97)*([1]العمليات!$I$2:$I$1000&lt;&gt;"")),[1]العمليات!$I$2:$I$1000),""))</f>
        <v/>
      </c>
    </row>
    <row r="98" spans="1:5" x14ac:dyDescent="0.35">
      <c r="A98" s="3" t="s">
        <v>491</v>
      </c>
      <c r="B98" s="3" t="s">
        <v>492</v>
      </c>
      <c r="C98" s="4">
        <f>SUMIFS([1]العمليات!G:G, [1]العمليات!B:B, A98, [1]العمليات!C:C, "إدخال") - SUMIFS([1]العمليات!G:G, [1]العمليات!B:B, A98, [1]العمليات!C:C, "إخراج")</f>
        <v>0</v>
      </c>
      <c r="D98" s="3" t="str">
        <f>IF(A98="","",IFERROR(LOOKUP(2,1/(([1]العمليات!$B$2:$B$1000=A98)*([1]العمليات!$H$2:$H$1000&lt;&gt;"")),[1]العمليات!$H$2:$H$1000),""))</f>
        <v/>
      </c>
      <c r="E98" s="3" t="str">
        <f>IF(A98="","",IFERROR(LOOKUP(2,1/(([1]العمليات!$B$2:$B$1000=A98)*([1]العمليات!$I$2:$I$1000&lt;&gt;"")),[1]العمليات!$I$2:$I$1000),""))</f>
        <v/>
      </c>
    </row>
    <row r="99" spans="1:5" x14ac:dyDescent="0.35">
      <c r="A99" s="5" t="s">
        <v>493</v>
      </c>
      <c r="B99" s="5" t="s">
        <v>494</v>
      </c>
      <c r="C99" s="6">
        <f>SUMIFS([1]العمليات!G:G, [1]العمليات!B:B, A99, [1]العمليات!C:C, "إدخال") - SUMIFS([1]العمليات!G:G, [1]العمليات!B:B, A99, [1]العمليات!C:C, "إخراج")</f>
        <v>0</v>
      </c>
      <c r="D99" s="5" t="str">
        <f>IF(A99="","",IFERROR(LOOKUP(2,1/(([1]العمليات!$B$2:$B$1000=A99)*([1]العمليات!$H$2:$H$1000&lt;&gt;"")),[1]العمليات!$H$2:$H$1000),""))</f>
        <v/>
      </c>
      <c r="E99" s="5" t="str">
        <f>IF(A99="","",IFERROR(LOOKUP(2,1/(([1]العمليات!$B$2:$B$1000=A99)*([1]العمليات!$I$2:$I$1000&lt;&gt;"")),[1]العمليات!$I$2:$I$1000),""))</f>
        <v/>
      </c>
    </row>
    <row r="100" spans="1:5" x14ac:dyDescent="0.35">
      <c r="A100" s="3" t="s">
        <v>85</v>
      </c>
      <c r="B100" s="3" t="s">
        <v>86</v>
      </c>
      <c r="C100" s="4">
        <f>SUMIFS([1]العمليات!G:G, [1]العمليات!B:B, A100, [1]العمليات!C:C, "إدخال") - SUMIFS([1]العمليات!G:G, [1]العمليات!B:B, A100, [1]العمليات!C:C, "إخراج")</f>
        <v>898</v>
      </c>
      <c r="D100" s="3">
        <f>IF(A100="","",IFERROR(LOOKUP(2,1/(([1]العمليات!$B$2:$B$1000=A100)*([1]العمليات!$H$2:$H$1000&lt;&gt;"")),[1]العمليات!$H$2:$H$1000),""))</f>
        <v>4</v>
      </c>
      <c r="E100" s="3">
        <f>IF(A100="","",IFERROR(LOOKUP(2,1/(([1]العمليات!$B$2:$B$1000=A100)*([1]العمليات!$I$2:$I$1000&lt;&gt;"")),[1]العمليات!$I$2:$I$1000),""))</f>
        <v>4</v>
      </c>
    </row>
    <row r="101" spans="1:5" x14ac:dyDescent="0.35">
      <c r="A101" s="5" t="s">
        <v>87</v>
      </c>
      <c r="B101" s="5" t="s">
        <v>88</v>
      </c>
      <c r="C101" s="6">
        <f>SUMIFS([1]العمليات!G:G, [1]العمليات!B:B, A101, [1]العمليات!C:C, "إدخال") - SUMIFS([1]العمليات!G:G, [1]العمليات!B:B, A101, [1]العمليات!C:C, "إخراج")</f>
        <v>602</v>
      </c>
      <c r="D101" s="5">
        <f>IF(A101="","",IFERROR(LOOKUP(2,1/(([1]العمليات!$B$2:$B$1000=A101)*([1]العمليات!$H$2:$H$1000&lt;&gt;"")),[1]العمليات!$H$2:$H$1000),""))</f>
        <v>1</v>
      </c>
      <c r="E101" s="5">
        <f>IF(A101="","",IFERROR(LOOKUP(2,1/(([1]العمليات!$B$2:$B$1000=A101)*([1]العمليات!$I$2:$I$1000&lt;&gt;"")),[1]العمليات!$I$2:$I$1000),""))</f>
        <v>4</v>
      </c>
    </row>
    <row r="102" spans="1:5" x14ac:dyDescent="0.35">
      <c r="A102" s="3" t="s">
        <v>495</v>
      </c>
      <c r="B102" s="3" t="s">
        <v>496</v>
      </c>
      <c r="C102" s="4">
        <f>SUMIFS([1]العمليات!G:G, [1]العمليات!B:B, A102, [1]العمليات!C:C, "إدخال") - SUMIFS([1]العمليات!G:G, [1]العمليات!B:B, A102, [1]العمليات!C:C, "إخراج")</f>
        <v>0</v>
      </c>
      <c r="D102" s="3" t="str">
        <f>IF(A102="","",IFERROR(LOOKUP(2,1/(([1]العمليات!$B$2:$B$1000=A102)*([1]العمليات!$H$2:$H$1000&lt;&gt;"")),[1]العمليات!$H$2:$H$1000),""))</f>
        <v/>
      </c>
      <c r="E102" s="3" t="str">
        <f>IF(A102="","",IFERROR(LOOKUP(2,1/(([1]العمليات!$B$2:$B$1000=A102)*([1]العمليات!$I$2:$I$1000&lt;&gt;"")),[1]العمليات!$I$2:$I$1000),""))</f>
        <v/>
      </c>
    </row>
    <row r="103" spans="1:5" x14ac:dyDescent="0.35">
      <c r="A103" s="5" t="s">
        <v>497</v>
      </c>
      <c r="B103" s="5" t="s">
        <v>498</v>
      </c>
      <c r="C103" s="6">
        <f>SUMIFS([1]العمليات!G:G, [1]العمليات!B:B, A103, [1]العمليات!C:C, "إدخال") - SUMIFS([1]العمليات!G:G, [1]العمليات!B:B, A103, [1]العمليات!C:C, "إخراج")</f>
        <v>0</v>
      </c>
      <c r="D103" s="5" t="str">
        <f>IF(A103="","",IFERROR(LOOKUP(2,1/(([1]العمليات!$B$2:$B$1000=A103)*([1]العمليات!$H$2:$H$1000&lt;&gt;"")),[1]العمليات!$H$2:$H$1000),""))</f>
        <v/>
      </c>
      <c r="E103" s="5" t="str">
        <f>IF(A103="","",IFERROR(LOOKUP(2,1/(([1]العمليات!$B$2:$B$1000=A103)*([1]العمليات!$I$2:$I$1000&lt;&gt;"")),[1]العمليات!$I$2:$I$1000),""))</f>
        <v/>
      </c>
    </row>
    <row r="104" spans="1:5" x14ac:dyDescent="0.35">
      <c r="A104" s="3" t="s">
        <v>89</v>
      </c>
      <c r="B104" s="3" t="s">
        <v>90</v>
      </c>
      <c r="C104" s="4">
        <f>SUMIFS([1]العمليات!G:G, [1]العمليات!B:B, A104, [1]العمليات!C:C, "إدخال") - SUMIFS([1]العمليات!G:G, [1]العمليات!B:B, A104, [1]العمليات!C:C, "إخراج")</f>
        <v>601</v>
      </c>
      <c r="D104" s="3">
        <f>IF(A104="","",IFERROR(LOOKUP(2,1/(([1]العمليات!$B$2:$B$1000=A104)*([1]العمليات!$H$2:$H$1000&lt;&gt;"")),[1]العمليات!$H$2:$H$1000),""))</f>
        <v>2</v>
      </c>
      <c r="E104" s="3">
        <f>IF(A104="","",IFERROR(LOOKUP(2,1/(([1]العمليات!$B$2:$B$1000=A104)*([1]العمليات!$I$2:$I$1000&lt;&gt;"")),[1]العمليات!$I$2:$I$1000),""))</f>
        <v>2</v>
      </c>
    </row>
    <row r="105" spans="1:5" x14ac:dyDescent="0.35">
      <c r="A105" s="5" t="s">
        <v>91</v>
      </c>
      <c r="B105" s="5" t="s">
        <v>92</v>
      </c>
      <c r="C105" s="6">
        <f>SUMIFS([1]العمليات!G:G, [1]العمليات!B:B, A105, [1]العمليات!C:C, "إدخال") - SUMIFS([1]العمليات!G:G, [1]العمليات!B:B, A105, [1]العمليات!C:C, "إخراج")</f>
        <v>251</v>
      </c>
      <c r="D105" s="5">
        <f>IF(A105="","",IFERROR(LOOKUP(2,1/(([1]العمليات!$B$2:$B$1000=A105)*([1]العمليات!$H$2:$H$1000&lt;&gt;"")),[1]العمليات!$H$2:$H$1000),""))</f>
        <v>5</v>
      </c>
      <c r="E105" s="5">
        <f>IF(A105="","",IFERROR(LOOKUP(2,1/(([1]العمليات!$B$2:$B$1000=A105)*([1]العمليات!$I$2:$I$1000&lt;&gt;"")),[1]العمليات!$I$2:$I$1000),""))</f>
        <v>2</v>
      </c>
    </row>
    <row r="106" spans="1:5" x14ac:dyDescent="0.35">
      <c r="A106" s="3" t="s">
        <v>499</v>
      </c>
      <c r="B106" s="3" t="s">
        <v>500</v>
      </c>
      <c r="C106" s="4">
        <f>SUMIFS([1]العمليات!G:G, [1]العمليات!B:B, A106, [1]العمليات!C:C, "إدخال") - SUMIFS([1]العمليات!G:G, [1]العمليات!B:B, A106, [1]العمليات!C:C, "إخراج")</f>
        <v>0</v>
      </c>
      <c r="D106" s="3" t="str">
        <f>IF(A106="","",IFERROR(LOOKUP(2,1/(([1]العمليات!$B$2:$B$1000=A106)*([1]العمليات!$H$2:$H$1000&lt;&gt;"")),[1]العمليات!$H$2:$H$1000),""))</f>
        <v/>
      </c>
      <c r="E106" s="3" t="str">
        <f>IF(A106="","",IFERROR(LOOKUP(2,1/(([1]العمليات!$B$2:$B$1000=A106)*([1]العمليات!$I$2:$I$1000&lt;&gt;"")),[1]العمليات!$I$2:$I$1000),""))</f>
        <v/>
      </c>
    </row>
    <row r="107" spans="1:5" x14ac:dyDescent="0.35">
      <c r="A107" s="5" t="s">
        <v>501</v>
      </c>
      <c r="B107" s="5" t="s">
        <v>502</v>
      </c>
      <c r="C107" s="6">
        <f>SUMIFS([1]العمليات!G:G, [1]العمليات!B:B, A107, [1]العمليات!C:C, "إدخال") - SUMIFS([1]العمليات!G:G, [1]العمليات!B:B, A107, [1]العمليات!C:C, "إخراج")</f>
        <v>0</v>
      </c>
      <c r="D107" s="5" t="str">
        <f>IF(A107="","",IFERROR(LOOKUP(2,1/(([1]العمليات!$B$2:$B$1000=A107)*([1]العمليات!$H$2:$H$1000&lt;&gt;"")),[1]العمليات!$H$2:$H$1000),""))</f>
        <v/>
      </c>
      <c r="E107" s="5" t="str">
        <f>IF(A107="","",IFERROR(LOOKUP(2,1/(([1]العمليات!$B$2:$B$1000=A107)*([1]العمليات!$I$2:$I$1000&lt;&gt;"")),[1]العمليات!$I$2:$I$1000),""))</f>
        <v/>
      </c>
    </row>
    <row r="108" spans="1:5" x14ac:dyDescent="0.35">
      <c r="A108" s="3" t="s">
        <v>503</v>
      </c>
      <c r="B108" s="3" t="s">
        <v>504</v>
      </c>
      <c r="C108" s="4">
        <f>SUMIFS([1]العمليات!G:G, [1]العمليات!B:B, A108, [1]العمليات!C:C, "إدخال") - SUMIFS([1]العمليات!G:G, [1]العمليات!B:B, A108, [1]العمليات!C:C, "إخراج")</f>
        <v>0</v>
      </c>
      <c r="D108" s="3" t="str">
        <f>IF(A108="","",IFERROR(LOOKUP(2,1/(([1]العمليات!$B$2:$B$1000=A108)*([1]العمليات!$H$2:$H$1000&lt;&gt;"")),[1]العمليات!$H$2:$H$1000),""))</f>
        <v/>
      </c>
      <c r="E108" s="3" t="str">
        <f>IF(A108="","",IFERROR(LOOKUP(2,1/(([1]العمليات!$B$2:$B$1000=A108)*([1]العمليات!$I$2:$I$1000&lt;&gt;"")),[1]العمليات!$I$2:$I$1000),""))</f>
        <v/>
      </c>
    </row>
    <row r="109" spans="1:5" x14ac:dyDescent="0.35">
      <c r="A109" s="5" t="s">
        <v>505</v>
      </c>
      <c r="B109" s="5" t="s">
        <v>506</v>
      </c>
      <c r="C109" s="6">
        <f>SUMIFS([1]العمليات!G:G, [1]العمليات!B:B, A109, [1]العمليات!C:C, "إدخال") - SUMIFS([1]العمليات!G:G, [1]العمليات!B:B, A109, [1]العمليات!C:C, "إخراج")</f>
        <v>0</v>
      </c>
      <c r="D109" s="5" t="str">
        <f>IF(A109="","",IFERROR(LOOKUP(2,1/(([1]العمليات!$B$2:$B$1000=A109)*([1]العمليات!$H$2:$H$1000&lt;&gt;"")),[1]العمليات!$H$2:$H$1000),""))</f>
        <v/>
      </c>
      <c r="E109" s="5" t="str">
        <f>IF(A109="","",IFERROR(LOOKUP(2,1/(([1]العمليات!$B$2:$B$1000=A109)*([1]العمليات!$I$2:$I$1000&lt;&gt;"")),[1]العمليات!$I$2:$I$1000),""))</f>
        <v/>
      </c>
    </row>
    <row r="110" spans="1:5" x14ac:dyDescent="0.35">
      <c r="A110" s="3" t="s">
        <v>507</v>
      </c>
      <c r="B110" s="3" t="s">
        <v>508</v>
      </c>
      <c r="C110" s="4">
        <f>SUMIFS([1]العمليات!G:G, [1]العمليات!B:B, A110, [1]العمليات!C:C, "إدخال") - SUMIFS([1]العمليات!G:G, [1]العمليات!B:B, A110, [1]العمليات!C:C, "إخراج")</f>
        <v>0</v>
      </c>
      <c r="D110" s="3" t="str">
        <f>IF(A110="","",IFERROR(LOOKUP(2,1/(([1]العمليات!$B$2:$B$1000=A110)*([1]العمليات!$H$2:$H$1000&lt;&gt;"")),[1]العمليات!$H$2:$H$1000),""))</f>
        <v/>
      </c>
      <c r="E110" s="3" t="str">
        <f>IF(A110="","",IFERROR(LOOKUP(2,1/(([1]العمليات!$B$2:$B$1000=A110)*([1]العمليات!$I$2:$I$1000&lt;&gt;"")),[1]العمليات!$I$2:$I$1000),""))</f>
        <v/>
      </c>
    </row>
    <row r="111" spans="1:5" x14ac:dyDescent="0.35">
      <c r="A111" s="5" t="s">
        <v>93</v>
      </c>
      <c r="B111" s="5" t="s">
        <v>94</v>
      </c>
      <c r="C111" s="6">
        <f>SUMIFS([1]العمليات!G:G, [1]العمليات!B:B, A111, [1]العمليات!C:C, "إدخال") - SUMIFS([1]العمليات!G:G, [1]العمليات!B:B, A111, [1]العمليات!C:C, "إخراج")</f>
        <v>737</v>
      </c>
      <c r="D111" s="5">
        <f>IF(A111="","",IFERROR(LOOKUP(2,1/(([1]العمليات!$B$2:$B$1000=A111)*([1]العمليات!$H$2:$H$1000&lt;&gt;"")),[1]العمليات!$H$2:$H$1000),""))</f>
        <v>2</v>
      </c>
      <c r="E111" s="5">
        <f>IF(A111="","",IFERROR(LOOKUP(2,1/(([1]العمليات!$B$2:$B$1000=A111)*([1]العمليات!$I$2:$I$1000&lt;&gt;"")),[1]العمليات!$I$2:$I$1000),""))</f>
        <v>2</v>
      </c>
    </row>
    <row r="112" spans="1:5" x14ac:dyDescent="0.35">
      <c r="A112" s="3" t="s">
        <v>95</v>
      </c>
      <c r="B112" s="3" t="s">
        <v>96</v>
      </c>
      <c r="C112" s="4">
        <f>SUMIFS([1]العمليات!G:G, [1]العمليات!B:B, A112, [1]العمليات!C:C, "إدخال") - SUMIFS([1]العمليات!G:G, [1]العمليات!B:B, A112, [1]العمليات!C:C, "إخراج")</f>
        <v>2523</v>
      </c>
      <c r="D112" s="3">
        <f>IF(A112="","",IFERROR(LOOKUP(2,1/(([1]العمليات!$B$2:$B$1000=A112)*([1]العمليات!$H$2:$H$1000&lt;&gt;"")),[1]العمليات!$H$2:$H$1000),""))</f>
        <v>4</v>
      </c>
      <c r="E112" s="3">
        <f>IF(A112="","",IFERROR(LOOKUP(2,1/(([1]العمليات!$B$2:$B$1000=A112)*([1]العمليات!$I$2:$I$1000&lt;&gt;"")),[1]العمليات!$I$2:$I$1000),""))</f>
        <v>1</v>
      </c>
    </row>
    <row r="113" spans="1:5" x14ac:dyDescent="0.35">
      <c r="A113" s="5" t="s">
        <v>509</v>
      </c>
      <c r="B113" s="5" t="s">
        <v>510</v>
      </c>
      <c r="C113" s="6">
        <f>SUMIFS([1]العمليات!G:G, [1]العمليات!B:B, A113, [1]العمليات!C:C, "إدخال") - SUMIFS([1]العمليات!G:G, [1]العمليات!B:B, A113, [1]العمليات!C:C, "إخراج")</f>
        <v>0</v>
      </c>
      <c r="D113" s="5" t="str">
        <f>IF(A113="","",IFERROR(LOOKUP(2,1/(([1]العمليات!$B$2:$B$1000=A113)*([1]العمليات!$H$2:$H$1000&lt;&gt;"")),[1]العمليات!$H$2:$H$1000),""))</f>
        <v/>
      </c>
      <c r="E113" s="5" t="str">
        <f>IF(A113="","",IFERROR(LOOKUP(2,1/(([1]العمليات!$B$2:$B$1000=A113)*([1]العمليات!$I$2:$I$1000&lt;&gt;"")),[1]العمليات!$I$2:$I$1000),""))</f>
        <v/>
      </c>
    </row>
    <row r="114" spans="1:5" x14ac:dyDescent="0.35">
      <c r="A114" s="3" t="s">
        <v>511</v>
      </c>
      <c r="B114" s="3" t="s">
        <v>512</v>
      </c>
      <c r="C114" s="4">
        <f>SUMIFS([1]العمليات!G:G, [1]العمليات!B:B, A114, [1]العمليات!C:C, "إدخال") - SUMIFS([1]العمليات!G:G, [1]العمليات!B:B, A114, [1]العمليات!C:C, "إخراج")</f>
        <v>0</v>
      </c>
      <c r="D114" s="3" t="str">
        <f>IF(A114="","",IFERROR(LOOKUP(2,1/(([1]العمليات!$B$2:$B$1000=A114)*([1]العمليات!$H$2:$H$1000&lt;&gt;"")),[1]العمليات!$H$2:$H$1000),""))</f>
        <v/>
      </c>
      <c r="E114" s="3" t="str">
        <f>IF(A114="","",IFERROR(LOOKUP(2,1/(([1]العمليات!$B$2:$B$1000=A114)*([1]العمليات!$I$2:$I$1000&lt;&gt;"")),[1]العمليات!$I$2:$I$1000),""))</f>
        <v/>
      </c>
    </row>
    <row r="115" spans="1:5" x14ac:dyDescent="0.35">
      <c r="A115" s="5" t="s">
        <v>513</v>
      </c>
      <c r="B115" s="5" t="s">
        <v>514</v>
      </c>
      <c r="C115" s="6">
        <f>SUMIFS([1]العمليات!G:G, [1]العمليات!B:B, A115, [1]العمليات!C:C, "إدخال") - SUMIFS([1]العمليات!G:G, [1]العمليات!B:B, A115, [1]العمليات!C:C, "إخراج")</f>
        <v>0</v>
      </c>
      <c r="D115" s="5" t="str">
        <f>IF(A115="","",IFERROR(LOOKUP(2,1/(([1]العمليات!$B$2:$B$1000=A115)*([1]العمليات!$H$2:$H$1000&lt;&gt;"")),[1]العمليات!$H$2:$H$1000),""))</f>
        <v/>
      </c>
      <c r="E115" s="5" t="str">
        <f>IF(A115="","",IFERROR(LOOKUP(2,1/(([1]العمليات!$B$2:$B$1000=A115)*([1]العمليات!$I$2:$I$1000&lt;&gt;"")),[1]العمليات!$I$2:$I$1000),""))</f>
        <v/>
      </c>
    </row>
    <row r="116" spans="1:5" x14ac:dyDescent="0.35">
      <c r="A116" s="3" t="s">
        <v>515</v>
      </c>
      <c r="B116" s="3" t="s">
        <v>516</v>
      </c>
      <c r="C116" s="4">
        <f>SUMIFS([1]العمليات!G:G, [1]العمليات!B:B, A116, [1]العمليات!C:C, "إدخال") - SUMIFS([1]العمليات!G:G, [1]العمليات!B:B, A116, [1]العمليات!C:C, "إخراج")</f>
        <v>0</v>
      </c>
      <c r="D116" s="3" t="str">
        <f>IF(A116="","",IFERROR(LOOKUP(2,1/(([1]العمليات!$B$2:$B$1000=A116)*([1]العمليات!$H$2:$H$1000&lt;&gt;"")),[1]العمليات!$H$2:$H$1000),""))</f>
        <v/>
      </c>
      <c r="E116" s="3" t="str">
        <f>IF(A116="","",IFERROR(LOOKUP(2,1/(([1]العمليات!$B$2:$B$1000=A116)*([1]العمليات!$I$2:$I$1000&lt;&gt;"")),[1]العمليات!$I$2:$I$1000),""))</f>
        <v/>
      </c>
    </row>
    <row r="117" spans="1:5" x14ac:dyDescent="0.35">
      <c r="A117" s="5" t="s">
        <v>97</v>
      </c>
      <c r="B117" s="5" t="s">
        <v>98</v>
      </c>
      <c r="C117" s="6">
        <f>SUMIFS([1]العمليات!G:G, [1]العمليات!B:B, A117, [1]العمليات!C:C, "إدخال") - SUMIFS([1]العمليات!G:G, [1]العمليات!B:B, A117, [1]العمليات!C:C, "إخراج")</f>
        <v>266</v>
      </c>
      <c r="D117" s="5">
        <f>IF(A117="","",IFERROR(LOOKUP(2,1/(([1]العمليات!$B$2:$B$1000=A117)*([1]العمليات!$H$2:$H$1000&lt;&gt;"")),[1]العمليات!$H$2:$H$1000),""))</f>
        <v>4</v>
      </c>
      <c r="E117" s="5">
        <f>IF(A117="","",IFERROR(LOOKUP(2,1/(([1]العمليات!$B$2:$B$1000=A117)*([1]العمليات!$I$2:$I$1000&lt;&gt;"")),[1]العمليات!$I$2:$I$1000),""))</f>
        <v>3</v>
      </c>
    </row>
    <row r="118" spans="1:5" x14ac:dyDescent="0.35">
      <c r="A118" s="3" t="s">
        <v>517</v>
      </c>
      <c r="B118" s="3" t="s">
        <v>518</v>
      </c>
      <c r="C118" s="4">
        <f>SUMIFS([1]العمليات!G:G, [1]العمليات!B:B, A118, [1]العمليات!C:C, "إدخال") - SUMIFS([1]العمليات!G:G, [1]العمليات!B:B, A118, [1]العمليات!C:C, "إخراج")</f>
        <v>0</v>
      </c>
      <c r="D118" s="3" t="str">
        <f>IF(A118="","",IFERROR(LOOKUP(2,1/(([1]العمليات!$B$2:$B$1000=A118)*([1]العمليات!$H$2:$H$1000&lt;&gt;"")),[1]العمليات!$H$2:$H$1000),""))</f>
        <v/>
      </c>
      <c r="E118" s="3" t="str">
        <f>IF(A118="","",IFERROR(LOOKUP(2,1/(([1]العمليات!$B$2:$B$1000=A118)*([1]العمليات!$I$2:$I$1000&lt;&gt;"")),[1]العمليات!$I$2:$I$1000),""))</f>
        <v/>
      </c>
    </row>
    <row r="119" spans="1:5" x14ac:dyDescent="0.35">
      <c r="A119" s="5" t="s">
        <v>99</v>
      </c>
      <c r="B119" s="5" t="s">
        <v>100</v>
      </c>
      <c r="C119" s="6">
        <f>SUMIFS([1]العمليات!G:G, [1]العمليات!B:B, A119, [1]العمليات!C:C, "إدخال") - SUMIFS([1]العمليات!G:G, [1]العمليات!B:B, A119, [1]العمليات!C:C, "إخراج")</f>
        <v>1507</v>
      </c>
      <c r="D119" s="5">
        <f>IF(A119="","",IFERROR(LOOKUP(2,1/(([1]العمليات!$B$2:$B$1000=A119)*([1]العمليات!$H$2:$H$1000&lt;&gt;"")),[1]العمليات!$H$2:$H$1000),""))</f>
        <v>6</v>
      </c>
      <c r="E119" s="5">
        <f>IF(A119="","",IFERROR(LOOKUP(2,1/(([1]العمليات!$B$2:$B$1000=A119)*([1]العمليات!$I$2:$I$1000&lt;&gt;"")),[1]العمليات!$I$2:$I$1000),""))</f>
        <v>3</v>
      </c>
    </row>
    <row r="120" spans="1:5" x14ac:dyDescent="0.35">
      <c r="A120" s="3" t="s">
        <v>101</v>
      </c>
      <c r="B120" s="3" t="s">
        <v>102</v>
      </c>
      <c r="C120" s="4">
        <f>SUMIFS([1]العمليات!G:G, [1]العمليات!B:B, A120, [1]العمليات!C:C, "إدخال") - SUMIFS([1]العمليات!G:G, [1]العمليات!B:B, A120, [1]العمليات!C:C, "إخراج")</f>
        <v>559</v>
      </c>
      <c r="D120" s="3">
        <f>IF(A120="","",IFERROR(LOOKUP(2,1/(([1]العمليات!$B$2:$B$1000=A120)*([1]العمليات!$H$2:$H$1000&lt;&gt;"")),[1]العمليات!$H$2:$H$1000),""))</f>
        <v>4</v>
      </c>
      <c r="E120" s="3">
        <f>IF(A120="","",IFERROR(LOOKUP(2,1/(([1]العمليات!$B$2:$B$1000=A120)*([1]العمليات!$I$2:$I$1000&lt;&gt;"")),[1]العمليات!$I$2:$I$1000),""))</f>
        <v>6</v>
      </c>
    </row>
    <row r="121" spans="1:5" x14ac:dyDescent="0.35">
      <c r="A121" s="5" t="s">
        <v>519</v>
      </c>
      <c r="B121" s="5" t="s">
        <v>520</v>
      </c>
      <c r="C121" s="6">
        <f>SUMIFS([1]العمليات!G:G, [1]العمليات!B:B, A121, [1]العمليات!C:C, "إدخال") - SUMIFS([1]العمليات!G:G, [1]العمليات!B:B, A121, [1]العمليات!C:C, "إخراج")</f>
        <v>0</v>
      </c>
      <c r="D121" s="5" t="str">
        <f>IF(A121="","",IFERROR(LOOKUP(2,1/(([1]العمليات!$B$2:$B$1000=A121)*([1]العمليات!$H$2:$H$1000&lt;&gt;"")),[1]العمليات!$H$2:$H$1000),""))</f>
        <v/>
      </c>
      <c r="E121" s="5" t="str">
        <f>IF(A121="","",IFERROR(LOOKUP(2,1/(([1]العمليات!$B$2:$B$1000=A121)*([1]العمليات!$I$2:$I$1000&lt;&gt;"")),[1]العمليات!$I$2:$I$1000),""))</f>
        <v/>
      </c>
    </row>
    <row r="122" spans="1:5" x14ac:dyDescent="0.35">
      <c r="A122" s="3" t="s">
        <v>103</v>
      </c>
      <c r="B122" s="3" t="s">
        <v>104</v>
      </c>
      <c r="C122" s="4">
        <f>SUMIFS([1]العمليات!G:G, [1]العمليات!B:B, A122, [1]العمليات!C:C, "إدخال") - SUMIFS([1]العمليات!G:G, [1]العمليات!B:B, A122, [1]العمليات!C:C, "إخراج")</f>
        <v>1000</v>
      </c>
      <c r="D122" s="3">
        <f>IF(A122="","",IFERROR(LOOKUP(2,1/(([1]العمليات!$B$2:$B$1000=A122)*([1]العمليات!$H$2:$H$1000&lt;&gt;"")),[1]العمليات!$H$2:$H$1000),""))</f>
        <v>5</v>
      </c>
      <c r="E122" s="3">
        <f>IF(A122="","",IFERROR(LOOKUP(2,1/(([1]العمليات!$B$2:$B$1000=A122)*([1]العمليات!$I$2:$I$1000&lt;&gt;"")),[1]العمليات!$I$2:$I$1000),""))</f>
        <v>5</v>
      </c>
    </row>
    <row r="123" spans="1:5" x14ac:dyDescent="0.35">
      <c r="A123" s="5" t="s">
        <v>105</v>
      </c>
      <c r="B123" s="5" t="s">
        <v>106</v>
      </c>
      <c r="C123" s="6">
        <f>SUMIFS([1]العمليات!G:G, [1]العمليات!B:B, A123, [1]العمليات!C:C, "إدخال") - SUMIFS([1]العمليات!G:G, [1]العمليات!B:B, A123, [1]العمليات!C:C, "إخراج")</f>
        <v>692</v>
      </c>
      <c r="D123" s="5">
        <f>IF(A123="","",IFERROR(LOOKUP(2,1/(([1]العمليات!$B$2:$B$1000=A123)*([1]العمليات!$H$2:$H$1000&lt;&gt;"")),[1]العمليات!$H$2:$H$1000),""))</f>
        <v>5</v>
      </c>
      <c r="E123" s="5">
        <f>IF(A123="","",IFERROR(LOOKUP(2,1/(([1]العمليات!$B$2:$B$1000=A123)*([1]العمليات!$I$2:$I$1000&lt;&gt;"")),[1]العمليات!$I$2:$I$1000),""))</f>
        <v>6</v>
      </c>
    </row>
    <row r="124" spans="1:5" x14ac:dyDescent="0.35">
      <c r="A124" s="3" t="s">
        <v>521</v>
      </c>
      <c r="B124" s="3" t="s">
        <v>522</v>
      </c>
      <c r="C124" s="4">
        <f>SUMIFS([1]العمليات!G:G, [1]العمليات!B:B, A124, [1]العمليات!C:C, "إدخال") - SUMIFS([1]العمليات!G:G, [1]العمليات!B:B, A124, [1]العمليات!C:C, "إخراج")</f>
        <v>0</v>
      </c>
      <c r="D124" s="3" t="str">
        <f>IF(A124="","",IFERROR(LOOKUP(2,1/(([1]العمليات!$B$2:$B$1000=A124)*([1]العمليات!$H$2:$H$1000&lt;&gt;"")),[1]العمليات!$H$2:$H$1000),""))</f>
        <v/>
      </c>
      <c r="E124" s="3" t="str">
        <f>IF(A124="","",IFERROR(LOOKUP(2,1/(([1]العمليات!$B$2:$B$1000=A124)*([1]العمليات!$I$2:$I$1000&lt;&gt;"")),[1]العمليات!$I$2:$I$1000),""))</f>
        <v/>
      </c>
    </row>
    <row r="125" spans="1:5" x14ac:dyDescent="0.35">
      <c r="A125" s="5" t="s">
        <v>523</v>
      </c>
      <c r="B125" s="5" t="s">
        <v>524</v>
      </c>
      <c r="C125" s="6">
        <f>SUMIFS([1]العمليات!G:G, [1]العمليات!B:B, A125, [1]العمليات!C:C, "إدخال") - SUMIFS([1]العمليات!G:G, [1]العمليات!B:B, A125, [1]العمليات!C:C, "إخراج")</f>
        <v>0</v>
      </c>
      <c r="D125" s="5" t="str">
        <f>IF(A125="","",IFERROR(LOOKUP(2,1/(([1]العمليات!$B$2:$B$1000=A125)*([1]العمليات!$H$2:$H$1000&lt;&gt;"")),[1]العمليات!$H$2:$H$1000),""))</f>
        <v/>
      </c>
      <c r="E125" s="5" t="str">
        <f>IF(A125="","",IFERROR(LOOKUP(2,1/(([1]العمليات!$B$2:$B$1000=A125)*([1]العمليات!$I$2:$I$1000&lt;&gt;"")),[1]العمليات!$I$2:$I$1000),""))</f>
        <v/>
      </c>
    </row>
    <row r="126" spans="1:5" x14ac:dyDescent="0.35">
      <c r="A126" s="3" t="s">
        <v>525</v>
      </c>
      <c r="B126" s="3" t="s">
        <v>526</v>
      </c>
      <c r="C126" s="4">
        <f>SUMIFS([1]العمليات!G:G, [1]العمليات!B:B, A126, [1]العمليات!C:C, "إدخال") - SUMIFS([1]العمليات!G:G, [1]العمليات!B:B, A126, [1]العمليات!C:C, "إخراج")</f>
        <v>0</v>
      </c>
      <c r="D126" s="3" t="str">
        <f>IF(A126="","",IFERROR(LOOKUP(2,1/(([1]العمليات!$B$2:$B$1000=A126)*([1]العمليات!$H$2:$H$1000&lt;&gt;"")),[1]العمليات!$H$2:$H$1000),""))</f>
        <v/>
      </c>
      <c r="E126" s="3" t="str">
        <f>IF(A126="","",IFERROR(LOOKUP(2,1/(([1]العمليات!$B$2:$B$1000=A126)*([1]العمليات!$I$2:$I$1000&lt;&gt;"")),[1]العمليات!$I$2:$I$1000),""))</f>
        <v/>
      </c>
    </row>
    <row r="127" spans="1:5" x14ac:dyDescent="0.35">
      <c r="A127" s="5" t="s">
        <v>107</v>
      </c>
      <c r="B127" s="5" t="s">
        <v>108</v>
      </c>
      <c r="C127" s="6">
        <f>SUMIFS([1]العمليات!G:G, [1]العمليات!B:B, A127, [1]العمليات!C:C, "إدخال") - SUMIFS([1]العمليات!G:G, [1]العمليات!B:B, A127, [1]العمليات!C:C, "إخراج")</f>
        <v>451</v>
      </c>
      <c r="D127" s="5">
        <f>IF(A127="","",IFERROR(LOOKUP(2,1/(([1]العمليات!$B$2:$B$1000=A127)*([1]العمليات!$H$2:$H$1000&lt;&gt;"")),[1]العمليات!$H$2:$H$1000),""))</f>
        <v>3</v>
      </c>
      <c r="E127" s="5">
        <f>IF(A127="","",IFERROR(LOOKUP(2,1/(([1]العمليات!$B$2:$B$1000=A127)*([1]العمليات!$I$2:$I$1000&lt;&gt;"")),[1]العمليات!$I$2:$I$1000),""))</f>
        <v>5</v>
      </c>
    </row>
    <row r="128" spans="1:5" x14ac:dyDescent="0.35">
      <c r="A128" s="3" t="s">
        <v>527</v>
      </c>
      <c r="B128" s="3" t="s">
        <v>528</v>
      </c>
      <c r="C128" s="4">
        <f>SUMIFS([1]العمليات!G:G, [1]العمليات!B:B, A128, [1]العمليات!C:C, "إدخال") - SUMIFS([1]العمليات!G:G, [1]العمليات!B:B, A128, [1]العمليات!C:C, "إخراج")</f>
        <v>0</v>
      </c>
      <c r="D128" s="3" t="str">
        <f>IF(A128="","",IFERROR(LOOKUP(2,1/(([1]العمليات!$B$2:$B$1000=A128)*([1]العمليات!$H$2:$H$1000&lt;&gt;"")),[1]العمليات!$H$2:$H$1000),""))</f>
        <v/>
      </c>
      <c r="E128" s="3" t="str">
        <f>IF(A128="","",IFERROR(LOOKUP(2,1/(([1]العمليات!$B$2:$B$1000=A128)*([1]العمليات!$I$2:$I$1000&lt;&gt;"")),[1]العمليات!$I$2:$I$1000),""))</f>
        <v/>
      </c>
    </row>
    <row r="129" spans="1:5" x14ac:dyDescent="0.35">
      <c r="A129" s="5" t="s">
        <v>109</v>
      </c>
      <c r="B129" s="5" t="s">
        <v>110</v>
      </c>
      <c r="C129" s="6">
        <f>SUMIFS([1]العمليات!G:G, [1]العمليات!B:B, A129, [1]العمليات!C:C, "إدخال") - SUMIFS([1]العمليات!G:G, [1]العمليات!B:B, A129, [1]العمليات!C:C, "إخراج")</f>
        <v>50</v>
      </c>
      <c r="D129" s="5" t="str">
        <f>IF(A129="","",IFERROR(LOOKUP(2,1/(([1]العمليات!$B$2:$B$1000=A129)*([1]العمليات!$H$2:$H$1000&lt;&gt;"")),[1]العمليات!$H$2:$H$1000),""))</f>
        <v>مختوم ومسك</v>
      </c>
      <c r="E129" s="5" t="str">
        <f>IF(A129="","",IFERROR(LOOKUP(2,1/(([1]العمليات!$B$2:$B$1000=A129)*([1]العمليات!$I$2:$I$1000&lt;&gt;"")),[1]العمليات!$I$2:$I$1000),""))</f>
        <v>-</v>
      </c>
    </row>
    <row r="130" spans="1:5" x14ac:dyDescent="0.35">
      <c r="A130" s="3" t="s">
        <v>111</v>
      </c>
      <c r="B130" s="3" t="s">
        <v>112</v>
      </c>
      <c r="C130" s="4">
        <f>SUMIFS([1]العمليات!G:G, [1]العمليات!B:B, A130, [1]العمليات!C:C, "إدخال") - SUMIFS([1]العمليات!G:G, [1]العمليات!B:B, A130, [1]العمليات!C:C, "إخراج")</f>
        <v>608</v>
      </c>
      <c r="D130" s="3">
        <f>IF(A130="","",IFERROR(LOOKUP(2,1/(([1]العمليات!$B$2:$B$1000=A130)*([1]العمليات!$H$2:$H$1000&lt;&gt;"")),[1]العمليات!$H$2:$H$1000),""))</f>
        <v>1</v>
      </c>
      <c r="E130" s="3">
        <f>IF(A130="","",IFERROR(LOOKUP(2,1/(([1]العمليات!$B$2:$B$1000=A130)*([1]العمليات!$I$2:$I$1000&lt;&gt;"")),[1]العمليات!$I$2:$I$1000),""))</f>
        <v>5</v>
      </c>
    </row>
    <row r="131" spans="1:5" x14ac:dyDescent="0.35">
      <c r="A131" s="5" t="s">
        <v>529</v>
      </c>
      <c r="B131" s="5" t="s">
        <v>530</v>
      </c>
      <c r="C131" s="6">
        <f>SUMIFS([1]العمليات!G:G, [1]العمليات!B:B, A131, [1]العمليات!C:C, "إدخال") - SUMIFS([1]العمليات!G:G, [1]العمليات!B:B, A131, [1]العمليات!C:C, "إخراج")</f>
        <v>0</v>
      </c>
      <c r="D131" s="5" t="str">
        <f>IF(A131="","",IFERROR(LOOKUP(2,1/(([1]العمليات!$B$2:$B$1000=A131)*([1]العمليات!$H$2:$H$1000&lt;&gt;"")),[1]العمليات!$H$2:$H$1000),""))</f>
        <v/>
      </c>
      <c r="E131" s="5" t="str">
        <f>IF(A131="","",IFERROR(LOOKUP(2,1/(([1]العمليات!$B$2:$B$1000=A131)*([1]العمليات!$I$2:$I$1000&lt;&gt;"")),[1]العمليات!$I$2:$I$1000),""))</f>
        <v/>
      </c>
    </row>
    <row r="132" spans="1:5" x14ac:dyDescent="0.35">
      <c r="A132" s="3" t="s">
        <v>113</v>
      </c>
      <c r="B132" s="3" t="s">
        <v>114</v>
      </c>
      <c r="C132" s="4">
        <f>SUMIFS([1]العمليات!G:G, [1]العمليات!B:B, A132, [1]العمليات!C:C, "إدخال") - SUMIFS([1]العمليات!G:G, [1]العمليات!B:B, A132, [1]العمليات!C:C, "إخراج")</f>
        <v>979</v>
      </c>
      <c r="D132" s="3">
        <f>IF(A132="","",IFERROR(LOOKUP(2,1/(([1]العمليات!$B$2:$B$1000=A132)*([1]العمليات!$H$2:$H$1000&lt;&gt;"")),[1]العمليات!$H$2:$H$1000),""))</f>
        <v>2</v>
      </c>
      <c r="E132" s="3">
        <f>IF(A132="","",IFERROR(LOOKUP(2,1/(([1]العمليات!$B$2:$B$1000=A132)*([1]العمليات!$I$2:$I$1000&lt;&gt;"")),[1]العمليات!$I$2:$I$1000),""))</f>
        <v>1</v>
      </c>
    </row>
    <row r="133" spans="1:5" x14ac:dyDescent="0.35">
      <c r="A133" s="5" t="s">
        <v>531</v>
      </c>
      <c r="B133" s="5" t="s">
        <v>532</v>
      </c>
      <c r="C133" s="6">
        <f>SUMIFS([1]العمليات!G:G, [1]العمليات!B:B, A133, [1]العمليات!C:C, "إدخال") - SUMIFS([1]العمليات!G:G, [1]العمليات!B:B, A133, [1]العمليات!C:C, "إخراج")</f>
        <v>0</v>
      </c>
      <c r="D133" s="5" t="str">
        <f>IF(A133="","",IFERROR(LOOKUP(2,1/(([1]العمليات!$B$2:$B$1000=A133)*([1]العمليات!$H$2:$H$1000&lt;&gt;"")),[1]العمليات!$H$2:$H$1000),""))</f>
        <v/>
      </c>
      <c r="E133" s="5" t="str">
        <f>IF(A133="","",IFERROR(LOOKUP(2,1/(([1]العمليات!$B$2:$B$1000=A133)*([1]العمليات!$I$2:$I$1000&lt;&gt;"")),[1]العمليات!$I$2:$I$1000),""))</f>
        <v/>
      </c>
    </row>
    <row r="134" spans="1:5" x14ac:dyDescent="0.35">
      <c r="A134" s="3" t="s">
        <v>533</v>
      </c>
      <c r="B134" s="3" t="s">
        <v>534</v>
      </c>
      <c r="C134" s="4">
        <f>SUMIFS([1]العمليات!G:G, [1]العمليات!B:B, A134, [1]العمليات!C:C, "إدخال") - SUMIFS([1]العمليات!G:G, [1]العمليات!B:B, A134, [1]العمليات!C:C, "إخراج")</f>
        <v>0</v>
      </c>
      <c r="D134" s="3" t="str">
        <f>IF(A134="","",IFERROR(LOOKUP(2,1/(([1]العمليات!$B$2:$B$1000=A134)*([1]العمليات!$H$2:$H$1000&lt;&gt;"")),[1]العمليات!$H$2:$H$1000),""))</f>
        <v/>
      </c>
      <c r="E134" s="3" t="str">
        <f>IF(A134="","",IFERROR(LOOKUP(2,1/(([1]العمليات!$B$2:$B$1000=A134)*([1]العمليات!$I$2:$I$1000&lt;&gt;"")),[1]العمليات!$I$2:$I$1000),""))</f>
        <v/>
      </c>
    </row>
    <row r="135" spans="1:5" x14ac:dyDescent="0.35">
      <c r="A135" s="5" t="s">
        <v>535</v>
      </c>
      <c r="B135" s="5" t="s">
        <v>536</v>
      </c>
      <c r="C135" s="6">
        <f>SUMIFS([1]العمليات!G:G, [1]العمليات!B:B, A135, [1]العمليات!C:C, "إدخال") - SUMIFS([1]العمليات!G:G, [1]العمليات!B:B, A135, [1]العمليات!C:C, "إخراج")</f>
        <v>0</v>
      </c>
      <c r="D135" s="5" t="str">
        <f>IF(A135="","",IFERROR(LOOKUP(2,1/(([1]العمليات!$B$2:$B$1000=A135)*([1]العمليات!$H$2:$H$1000&lt;&gt;"")),[1]العمليات!$H$2:$H$1000),""))</f>
        <v/>
      </c>
      <c r="E135" s="5" t="str">
        <f>IF(A135="","",IFERROR(LOOKUP(2,1/(([1]العمليات!$B$2:$B$1000=A135)*([1]العمليات!$I$2:$I$1000&lt;&gt;"")),[1]العمليات!$I$2:$I$1000),""))</f>
        <v/>
      </c>
    </row>
    <row r="136" spans="1:5" x14ac:dyDescent="0.35">
      <c r="A136" s="3" t="s">
        <v>537</v>
      </c>
      <c r="B136" s="3" t="s">
        <v>538</v>
      </c>
      <c r="C136" s="4">
        <f>SUMIFS([1]العمليات!G:G, [1]العمليات!B:B, A136, [1]العمليات!C:C, "إدخال") - SUMIFS([1]العمليات!G:G, [1]العمليات!B:B, A136, [1]العمليات!C:C, "إخراج")</f>
        <v>0</v>
      </c>
      <c r="D136" s="3" t="str">
        <f>IF(A136="","",IFERROR(LOOKUP(2,1/(([1]العمليات!$B$2:$B$1000=A136)*([1]العمليات!$H$2:$H$1000&lt;&gt;"")),[1]العمليات!$H$2:$H$1000),""))</f>
        <v/>
      </c>
      <c r="E136" s="3" t="str">
        <f>IF(A136="","",IFERROR(LOOKUP(2,1/(([1]العمليات!$B$2:$B$1000=A136)*([1]العمليات!$I$2:$I$1000&lt;&gt;"")),[1]العمليات!$I$2:$I$1000),""))</f>
        <v/>
      </c>
    </row>
    <row r="137" spans="1:5" x14ac:dyDescent="0.35">
      <c r="A137" s="5" t="s">
        <v>539</v>
      </c>
      <c r="B137" s="5" t="s">
        <v>540</v>
      </c>
      <c r="C137" s="6">
        <f>SUMIFS([1]العمليات!G:G, [1]العمليات!B:B, A137, [1]العمليات!C:C, "إدخال") - SUMIFS([1]العمليات!G:G, [1]العمليات!B:B, A137, [1]العمليات!C:C, "إخراج")</f>
        <v>0</v>
      </c>
      <c r="D137" s="5" t="str">
        <f>IF(A137="","",IFERROR(LOOKUP(2,1/(([1]العمليات!$B$2:$B$1000=A137)*([1]العمليات!$H$2:$H$1000&lt;&gt;"")),[1]العمليات!$H$2:$H$1000),""))</f>
        <v/>
      </c>
      <c r="E137" s="5" t="str">
        <f>IF(A137="","",IFERROR(LOOKUP(2,1/(([1]العمليات!$B$2:$B$1000=A137)*([1]العمليات!$I$2:$I$1000&lt;&gt;"")),[1]العمليات!$I$2:$I$1000),""))</f>
        <v/>
      </c>
    </row>
    <row r="138" spans="1:5" x14ac:dyDescent="0.35">
      <c r="A138" s="3" t="s">
        <v>541</v>
      </c>
      <c r="B138" s="3" t="s">
        <v>542</v>
      </c>
      <c r="C138" s="4">
        <f>SUMIFS([1]العمليات!G:G, [1]العمليات!B:B, A138, [1]العمليات!C:C, "إدخال") - SUMIFS([1]العمليات!G:G, [1]العمليات!B:B, A138, [1]العمليات!C:C, "إخراج")</f>
        <v>0</v>
      </c>
      <c r="D138" s="3" t="str">
        <f>IF(A138="","",IFERROR(LOOKUP(2,1/(([1]العمليات!$B$2:$B$1000=A138)*([1]العمليات!$H$2:$H$1000&lt;&gt;"")),[1]العمليات!$H$2:$H$1000),""))</f>
        <v/>
      </c>
      <c r="E138" s="3" t="str">
        <f>IF(A138="","",IFERROR(LOOKUP(2,1/(([1]العمليات!$B$2:$B$1000=A138)*([1]العمليات!$I$2:$I$1000&lt;&gt;"")),[1]العمليات!$I$2:$I$1000),""))</f>
        <v/>
      </c>
    </row>
    <row r="139" spans="1:5" x14ac:dyDescent="0.35">
      <c r="A139" s="5" t="s">
        <v>115</v>
      </c>
      <c r="B139" s="5" t="s">
        <v>116</v>
      </c>
      <c r="C139" s="6">
        <f>SUMIFS([1]العمليات!G:G, [1]العمليات!B:B, A139, [1]العمليات!C:C, "إدخال") - SUMIFS([1]العمليات!G:G, [1]العمليات!B:B, A139, [1]العمليات!C:C, "إخراج")</f>
        <v>743</v>
      </c>
      <c r="D139" s="5">
        <f>IF(A139="","",IFERROR(LOOKUP(2,1/(([1]العمليات!$B$2:$B$1000=A139)*([1]العمليات!$H$2:$H$1000&lt;&gt;"")),[1]العمليات!$H$2:$H$1000),""))</f>
        <v>5</v>
      </c>
      <c r="E139" s="5">
        <f>IF(A139="","",IFERROR(LOOKUP(2,1/(([1]العمليات!$B$2:$B$1000=A139)*([1]العمليات!$I$2:$I$1000&lt;&gt;"")),[1]العمليات!$I$2:$I$1000),""))</f>
        <v>5</v>
      </c>
    </row>
    <row r="140" spans="1:5" x14ac:dyDescent="0.35">
      <c r="A140" s="3" t="s">
        <v>117</v>
      </c>
      <c r="B140" s="3" t="s">
        <v>118</v>
      </c>
      <c r="C140" s="4">
        <f>SUMIFS([1]العمليات!G:G, [1]العمليات!B:B, A140, [1]العمليات!C:C, "إدخال") - SUMIFS([1]العمليات!G:G, [1]العمليات!B:B, A140, [1]العمليات!C:C, "إخراج")</f>
        <v>609</v>
      </c>
      <c r="D140" s="3">
        <f>IF(A140="","",IFERROR(LOOKUP(2,1/(([1]العمليات!$B$2:$B$1000=A140)*([1]العمليات!$H$2:$H$1000&lt;&gt;"")),[1]العمليات!$H$2:$H$1000),""))</f>
        <v>1</v>
      </c>
      <c r="E140" s="3">
        <f>IF(A140="","",IFERROR(LOOKUP(2,1/(([1]العمليات!$B$2:$B$1000=A140)*([1]العمليات!$I$2:$I$1000&lt;&gt;"")),[1]العمليات!$I$2:$I$1000),""))</f>
        <v>3</v>
      </c>
    </row>
    <row r="141" spans="1:5" x14ac:dyDescent="0.35">
      <c r="A141" s="5" t="s">
        <v>543</v>
      </c>
      <c r="B141" s="5" t="s">
        <v>544</v>
      </c>
      <c r="C141" s="6">
        <f>SUMIFS([1]العمليات!G:G, [1]العمليات!B:B, A141, [1]العمليات!C:C, "إدخال") - SUMIFS([1]العمليات!G:G, [1]العمليات!B:B, A141, [1]العمليات!C:C, "إخراج")</f>
        <v>0</v>
      </c>
      <c r="D141" s="5" t="str">
        <f>IF(A141="","",IFERROR(LOOKUP(2,1/(([1]العمليات!$B$2:$B$1000=A141)*([1]العمليات!$H$2:$H$1000&lt;&gt;"")),[1]العمليات!$H$2:$H$1000),""))</f>
        <v/>
      </c>
      <c r="E141" s="5" t="str">
        <f>IF(A141="","",IFERROR(LOOKUP(2,1/(([1]العمليات!$B$2:$B$1000=A141)*([1]العمليات!$I$2:$I$1000&lt;&gt;"")),[1]العمليات!$I$2:$I$1000),""))</f>
        <v/>
      </c>
    </row>
    <row r="142" spans="1:5" x14ac:dyDescent="0.35">
      <c r="A142" s="3" t="s">
        <v>119</v>
      </c>
      <c r="B142" s="3" t="s">
        <v>120</v>
      </c>
      <c r="C142" s="4">
        <f>SUMIFS([1]العمليات!G:G, [1]العمليات!B:B, A142, [1]العمليات!C:C, "إدخال") - SUMIFS([1]العمليات!G:G, [1]العمليات!B:B, A142, [1]العمليات!C:C, "إخراج")</f>
        <v>1218</v>
      </c>
      <c r="D142" s="3">
        <f>IF(A142="","",IFERROR(LOOKUP(2,1/(([1]العمليات!$B$2:$B$1000=A142)*([1]العمليات!$H$2:$H$1000&lt;&gt;"")),[1]العمليات!$H$2:$H$1000),""))</f>
        <v>2</v>
      </c>
      <c r="E142" s="3" t="str">
        <f>IF(A142="","",IFERROR(LOOKUP(2,1/(([1]العمليات!$B$2:$B$1000=A142)*([1]العمليات!$I$2:$I$1000&lt;&gt;"")),[1]العمليات!$I$2:$I$1000),""))</f>
        <v>2ط2</v>
      </c>
    </row>
    <row r="143" spans="1:5" x14ac:dyDescent="0.35">
      <c r="A143" s="5" t="s">
        <v>121</v>
      </c>
      <c r="B143" s="5" t="s">
        <v>122</v>
      </c>
      <c r="C143" s="6">
        <f>SUMIFS([1]العمليات!G:G, [1]العمليات!B:B, A143, [1]العمليات!C:C, "إدخال") - SUMIFS([1]العمليات!G:G, [1]العمليات!B:B, A143, [1]العمليات!C:C, "إخراج")</f>
        <v>1000</v>
      </c>
      <c r="D143" s="5">
        <f>IF(A143="","",IFERROR(LOOKUP(2,1/(([1]العمليات!$B$2:$B$1000=A143)*([1]العمليات!$H$2:$H$1000&lt;&gt;"")),[1]العمليات!$H$2:$H$1000),""))</f>
        <v>3</v>
      </c>
      <c r="E143" s="5">
        <f>IF(A143="","",IFERROR(LOOKUP(2,1/(([1]العمليات!$B$2:$B$1000=A143)*([1]العمليات!$I$2:$I$1000&lt;&gt;"")),[1]العمليات!$I$2:$I$1000),""))</f>
        <v>2</v>
      </c>
    </row>
    <row r="144" spans="1:5" x14ac:dyDescent="0.35">
      <c r="A144" s="3" t="s">
        <v>545</v>
      </c>
      <c r="B144" s="3" t="s">
        <v>546</v>
      </c>
      <c r="C144" s="4">
        <f>SUMIFS([1]العمليات!G:G, [1]العمليات!B:B, A144, [1]العمليات!C:C, "إدخال") - SUMIFS([1]العمليات!G:G, [1]العمليات!B:B, A144, [1]العمليات!C:C, "إخراج")</f>
        <v>0</v>
      </c>
      <c r="D144" s="3" t="str">
        <f>IF(A144="","",IFERROR(LOOKUP(2,1/(([1]العمليات!$B$2:$B$1000=A144)*([1]العمليات!$H$2:$H$1000&lt;&gt;"")),[1]العمليات!$H$2:$H$1000),""))</f>
        <v/>
      </c>
      <c r="E144" s="3" t="str">
        <f>IF(A144="","",IFERROR(LOOKUP(2,1/(([1]العمليات!$B$2:$B$1000=A144)*([1]العمليات!$I$2:$I$1000&lt;&gt;"")),[1]العمليات!$I$2:$I$1000),""))</f>
        <v/>
      </c>
    </row>
    <row r="145" spans="1:5" x14ac:dyDescent="0.35">
      <c r="A145" s="5" t="s">
        <v>123</v>
      </c>
      <c r="B145" s="5" t="s">
        <v>124</v>
      </c>
      <c r="C145" s="6">
        <f>SUMIFS([1]العمليات!G:G, [1]العمليات!B:B, A145, [1]العمليات!C:C, "إدخال") - SUMIFS([1]العمليات!G:G, [1]العمليات!B:B, A145, [1]العمليات!C:C, "إخراج")</f>
        <v>701</v>
      </c>
      <c r="D145" s="5">
        <f>IF(A145="","",IFERROR(LOOKUP(2,1/(([1]العمليات!$B$2:$B$1000=A145)*([1]العمليات!$H$2:$H$1000&lt;&gt;"")),[1]العمليات!$H$2:$H$1000),""))</f>
        <v>6</v>
      </c>
      <c r="E145" s="5">
        <f>IF(A145="","",IFERROR(LOOKUP(2,1/(([1]العمليات!$B$2:$B$1000=A145)*([1]العمليات!$I$2:$I$1000&lt;&gt;"")),[1]العمليات!$I$2:$I$1000),""))</f>
        <v>1</v>
      </c>
    </row>
    <row r="146" spans="1:5" x14ac:dyDescent="0.35">
      <c r="A146" s="3" t="s">
        <v>547</v>
      </c>
      <c r="B146" s="3" t="s">
        <v>548</v>
      </c>
      <c r="C146" s="4">
        <f>SUMIFS([1]العمليات!G:G, [1]العمليات!B:B, A146, [1]العمليات!C:C, "إدخال") - SUMIFS([1]العمليات!G:G, [1]العمليات!B:B, A146, [1]العمليات!C:C, "إخراج")</f>
        <v>0</v>
      </c>
      <c r="D146" s="3" t="str">
        <f>IF(A146="","",IFERROR(LOOKUP(2,1/(([1]العمليات!$B$2:$B$1000=A146)*([1]العمليات!$H$2:$H$1000&lt;&gt;"")),[1]العمليات!$H$2:$H$1000),""))</f>
        <v/>
      </c>
      <c r="E146" s="3" t="str">
        <f>IF(A146="","",IFERROR(LOOKUP(2,1/(([1]العمليات!$B$2:$B$1000=A146)*([1]العمليات!$I$2:$I$1000&lt;&gt;"")),[1]العمليات!$I$2:$I$1000),""))</f>
        <v/>
      </c>
    </row>
    <row r="147" spans="1:5" x14ac:dyDescent="0.35">
      <c r="A147" s="5" t="s">
        <v>549</v>
      </c>
      <c r="B147" s="5" t="s">
        <v>550</v>
      </c>
      <c r="C147" s="6">
        <f>SUMIFS([1]العمليات!G:G, [1]العمليات!B:B, A147, [1]العمليات!C:C, "إدخال") - SUMIFS([1]العمليات!G:G, [1]العمليات!B:B, A147, [1]العمليات!C:C, "إخراج")</f>
        <v>0</v>
      </c>
      <c r="D147" s="5" t="str">
        <f>IF(A147="","",IFERROR(LOOKUP(2,1/(([1]العمليات!$B$2:$B$1000=A147)*([1]العمليات!$H$2:$H$1000&lt;&gt;"")),[1]العمليات!$H$2:$H$1000),""))</f>
        <v/>
      </c>
      <c r="E147" s="5" t="str">
        <f>IF(A147="","",IFERROR(LOOKUP(2,1/(([1]العمليات!$B$2:$B$1000=A147)*([1]العمليات!$I$2:$I$1000&lt;&gt;"")),[1]العمليات!$I$2:$I$1000),""))</f>
        <v/>
      </c>
    </row>
    <row r="148" spans="1:5" x14ac:dyDescent="0.35">
      <c r="A148" s="3" t="s">
        <v>125</v>
      </c>
      <c r="B148" s="3" t="s">
        <v>126</v>
      </c>
      <c r="C148" s="4">
        <f>SUMIFS([1]العمليات!G:G, [1]العمليات!B:B, A148, [1]العمليات!C:C, "إدخال") - SUMIFS([1]العمليات!G:G, [1]العمليات!B:B, A148, [1]العمليات!C:C, "إخراج")</f>
        <v>1000</v>
      </c>
      <c r="D148" s="3">
        <f>IF(A148="","",IFERROR(LOOKUP(2,1/(([1]العمليات!$B$2:$B$1000=A148)*([1]العمليات!$H$2:$H$1000&lt;&gt;"")),[1]العمليات!$H$2:$H$1000),""))</f>
        <v>5</v>
      </c>
      <c r="E148" s="3">
        <f>IF(A148="","",IFERROR(LOOKUP(2,1/(([1]العمليات!$B$2:$B$1000=A148)*([1]العمليات!$I$2:$I$1000&lt;&gt;"")),[1]العمليات!$I$2:$I$1000),""))</f>
        <v>5</v>
      </c>
    </row>
    <row r="149" spans="1:5" x14ac:dyDescent="0.35">
      <c r="A149" s="5" t="s">
        <v>551</v>
      </c>
      <c r="B149" s="5" t="s">
        <v>552</v>
      </c>
      <c r="C149" s="6">
        <f>SUMIFS([1]العمليات!G:G, [1]العمليات!B:B, A149, [1]العمليات!C:C, "إدخال") - SUMIFS([1]العمليات!G:G, [1]العمليات!B:B, A149, [1]العمليات!C:C, "إخراج")</f>
        <v>0</v>
      </c>
      <c r="D149" s="5" t="str">
        <f>IF(A149="","",IFERROR(LOOKUP(2,1/(([1]العمليات!$B$2:$B$1000=A149)*([1]العمليات!$H$2:$H$1000&lt;&gt;"")),[1]العمليات!$H$2:$H$1000),""))</f>
        <v/>
      </c>
      <c r="E149" s="5" t="str">
        <f>IF(A149="","",IFERROR(LOOKUP(2,1/(([1]العمليات!$B$2:$B$1000=A149)*([1]العمليات!$I$2:$I$1000&lt;&gt;"")),[1]العمليات!$I$2:$I$1000),""))</f>
        <v/>
      </c>
    </row>
    <row r="150" spans="1:5" x14ac:dyDescent="0.35">
      <c r="A150" s="3" t="s">
        <v>553</v>
      </c>
      <c r="B150" s="3" t="s">
        <v>554</v>
      </c>
      <c r="C150" s="4">
        <f>SUMIFS([1]العمليات!G:G, [1]العمليات!B:B, A150, [1]العمليات!C:C, "إدخال") - SUMIFS([1]العمليات!G:G, [1]العمليات!B:B, A150, [1]العمليات!C:C, "إخراج")</f>
        <v>0</v>
      </c>
      <c r="D150" s="3" t="str">
        <f>IF(A150="","",IFERROR(LOOKUP(2,1/(([1]العمليات!$B$2:$B$1000=A150)*([1]العمليات!$H$2:$H$1000&lt;&gt;"")),[1]العمليات!$H$2:$H$1000),""))</f>
        <v/>
      </c>
      <c r="E150" s="3" t="str">
        <f>IF(A150="","",IFERROR(LOOKUP(2,1/(([1]العمليات!$B$2:$B$1000=A150)*([1]العمليات!$I$2:$I$1000&lt;&gt;"")),[1]العمليات!$I$2:$I$1000),""))</f>
        <v/>
      </c>
    </row>
    <row r="151" spans="1:5" x14ac:dyDescent="0.35">
      <c r="A151" s="5" t="s">
        <v>555</v>
      </c>
      <c r="B151" s="5" t="s">
        <v>556</v>
      </c>
      <c r="C151" s="6">
        <f>SUMIFS([1]العمليات!G:G, [1]العمليات!B:B, A151, [1]العمليات!C:C, "إدخال") - SUMIFS([1]العمليات!G:G, [1]العمليات!B:B, A151, [1]العمليات!C:C, "إخراج")</f>
        <v>0</v>
      </c>
      <c r="D151" s="5" t="str">
        <f>IF(A151="","",IFERROR(LOOKUP(2,1/(([1]العمليات!$B$2:$B$1000=A151)*([1]العمليات!$H$2:$H$1000&lt;&gt;"")),[1]العمليات!$H$2:$H$1000),""))</f>
        <v/>
      </c>
      <c r="E151" s="5" t="str">
        <f>IF(A151="","",IFERROR(LOOKUP(2,1/(([1]العمليات!$B$2:$B$1000=A151)*([1]العمليات!$I$2:$I$1000&lt;&gt;"")),[1]العمليات!$I$2:$I$1000),""))</f>
        <v/>
      </c>
    </row>
    <row r="152" spans="1:5" x14ac:dyDescent="0.35">
      <c r="A152" s="3" t="s">
        <v>557</v>
      </c>
      <c r="B152" s="3" t="s">
        <v>558</v>
      </c>
      <c r="C152" s="4">
        <f>SUMIFS([1]العمليات!G:G, [1]العمليات!B:B, A152, [1]العمليات!C:C, "إدخال") - SUMIFS([1]العمليات!G:G, [1]العمليات!B:B, A152, [1]العمليات!C:C, "إخراج")</f>
        <v>0</v>
      </c>
      <c r="D152" s="3" t="str">
        <f>IF(A152="","",IFERROR(LOOKUP(2,1/(([1]العمليات!$B$2:$B$1000=A152)*([1]العمليات!$H$2:$H$1000&lt;&gt;"")),[1]العمليات!$H$2:$H$1000),""))</f>
        <v/>
      </c>
      <c r="E152" s="3" t="str">
        <f>IF(A152="","",IFERROR(LOOKUP(2,1/(([1]العمليات!$B$2:$B$1000=A152)*([1]العمليات!$I$2:$I$1000&lt;&gt;"")),[1]العمليات!$I$2:$I$1000),""))</f>
        <v/>
      </c>
    </row>
    <row r="153" spans="1:5" x14ac:dyDescent="0.35">
      <c r="A153" s="5" t="s">
        <v>559</v>
      </c>
      <c r="B153" s="5" t="s">
        <v>560</v>
      </c>
      <c r="C153" s="6">
        <f>SUMIFS([1]العمليات!G:G, [1]العمليات!B:B, A153, [1]العمليات!C:C, "إدخال") - SUMIFS([1]العمليات!G:G, [1]العمليات!B:B, A153, [1]العمليات!C:C, "إخراج")</f>
        <v>0</v>
      </c>
      <c r="D153" s="5" t="str">
        <f>IF(A153="","",IFERROR(LOOKUP(2,1/(([1]العمليات!$B$2:$B$1000=A153)*([1]العمليات!$H$2:$H$1000&lt;&gt;"")),[1]العمليات!$H$2:$H$1000),""))</f>
        <v/>
      </c>
      <c r="E153" s="5" t="str">
        <f>IF(A153="","",IFERROR(LOOKUP(2,1/(([1]العمليات!$B$2:$B$1000=A153)*([1]العمليات!$I$2:$I$1000&lt;&gt;"")),[1]العمليات!$I$2:$I$1000),""))</f>
        <v/>
      </c>
    </row>
    <row r="154" spans="1:5" x14ac:dyDescent="0.35">
      <c r="A154" s="3" t="s">
        <v>127</v>
      </c>
      <c r="B154" s="3" t="s">
        <v>128</v>
      </c>
      <c r="C154" s="4">
        <f>SUMIFS([1]العمليات!G:G, [1]العمليات!B:B, A154, [1]العمليات!C:C, "إدخال") - SUMIFS([1]العمليات!G:G, [1]العمليات!B:B, A154, [1]العمليات!C:C, "إخراج")</f>
        <v>72</v>
      </c>
      <c r="D154" s="3">
        <f>IF(A154="","",IFERROR(LOOKUP(2,1/(([1]العمليات!$B$2:$B$1000=A154)*([1]العمليات!$H$2:$H$1000&lt;&gt;"")),[1]العمليات!$H$2:$H$1000),""))</f>
        <v>6</v>
      </c>
      <c r="E154" s="3">
        <f>IF(A154="","",IFERROR(LOOKUP(2,1/(([1]العمليات!$B$2:$B$1000=A154)*([1]العمليات!$I$2:$I$1000&lt;&gt;"")),[1]العمليات!$I$2:$I$1000),""))</f>
        <v>5</v>
      </c>
    </row>
    <row r="155" spans="1:5" x14ac:dyDescent="0.35">
      <c r="A155" s="5" t="s">
        <v>129</v>
      </c>
      <c r="B155" s="5" t="s">
        <v>130</v>
      </c>
      <c r="C155" s="6">
        <f>SUMIFS([1]العمليات!G:G, [1]العمليات!B:B, A155, [1]العمليات!C:C, "إدخال") - SUMIFS([1]العمليات!G:G, [1]العمليات!B:B, A155, [1]العمليات!C:C, "إخراج")</f>
        <v>129</v>
      </c>
      <c r="D155" s="5">
        <f>IF(A155="","",IFERROR(LOOKUP(2,1/(([1]العمليات!$B$2:$B$1000=A155)*([1]العمليات!$H$2:$H$1000&lt;&gt;"")),[1]العمليات!$H$2:$H$1000),""))</f>
        <v>2</v>
      </c>
      <c r="E155" s="5">
        <f>IF(A155="","",IFERROR(LOOKUP(2,1/(([1]العمليات!$B$2:$B$1000=A155)*([1]العمليات!$I$2:$I$1000&lt;&gt;"")),[1]العمليات!$I$2:$I$1000),""))</f>
        <v>4</v>
      </c>
    </row>
    <row r="156" spans="1:5" x14ac:dyDescent="0.35">
      <c r="A156" s="3" t="s">
        <v>561</v>
      </c>
      <c r="B156" s="3" t="s">
        <v>562</v>
      </c>
      <c r="C156" s="4">
        <f>SUMIFS([1]العمليات!G:G, [1]العمليات!B:B, A156, [1]العمليات!C:C, "إدخال") - SUMIFS([1]العمليات!G:G, [1]العمليات!B:B, A156, [1]العمليات!C:C, "إخراج")</f>
        <v>0</v>
      </c>
      <c r="D156" s="3" t="str">
        <f>IF(A156="","",IFERROR(LOOKUP(2,1/(([1]العمليات!$B$2:$B$1000=A156)*([1]العمليات!$H$2:$H$1000&lt;&gt;"")),[1]العمليات!$H$2:$H$1000),""))</f>
        <v/>
      </c>
      <c r="E156" s="3" t="str">
        <f>IF(A156="","",IFERROR(LOOKUP(2,1/(([1]العمليات!$B$2:$B$1000=A156)*([1]العمليات!$I$2:$I$1000&lt;&gt;"")),[1]العمليات!$I$2:$I$1000),""))</f>
        <v/>
      </c>
    </row>
    <row r="157" spans="1:5" x14ac:dyDescent="0.35">
      <c r="A157" s="5" t="s">
        <v>563</v>
      </c>
      <c r="B157" s="5" t="s">
        <v>564</v>
      </c>
      <c r="C157" s="6">
        <f>SUMIFS([1]العمليات!G:G, [1]العمليات!B:B, A157, [1]العمليات!C:C, "إدخال") - SUMIFS([1]العمليات!G:G, [1]العمليات!B:B, A157, [1]العمليات!C:C, "إخراج")</f>
        <v>0</v>
      </c>
      <c r="D157" s="5" t="str">
        <f>IF(A157="","",IFERROR(LOOKUP(2,1/(([1]العمليات!$B$2:$B$1000=A157)*([1]العمليات!$H$2:$H$1000&lt;&gt;"")),[1]العمليات!$H$2:$H$1000),""))</f>
        <v/>
      </c>
      <c r="E157" s="5" t="str">
        <f>IF(A157="","",IFERROR(LOOKUP(2,1/(([1]العمليات!$B$2:$B$1000=A157)*([1]العمليات!$I$2:$I$1000&lt;&gt;"")),[1]العمليات!$I$2:$I$1000),""))</f>
        <v/>
      </c>
    </row>
    <row r="158" spans="1:5" x14ac:dyDescent="0.35">
      <c r="A158" s="3" t="s">
        <v>131</v>
      </c>
      <c r="B158" s="3" t="s">
        <v>132</v>
      </c>
      <c r="C158" s="4">
        <f>SUMIFS([1]العمليات!G:G, [1]العمليات!B:B, A158, [1]العمليات!C:C, "إدخال") - SUMIFS([1]العمليات!G:G, [1]العمليات!B:B, A158, [1]العمليات!C:C, "إخراج")</f>
        <v>0</v>
      </c>
      <c r="D158" s="3">
        <f>IF(A158="","",IFERROR(LOOKUP(2,1/(([1]العمليات!$B$2:$B$1000=A158)*([1]العمليات!$H$2:$H$1000&lt;&gt;"")),[1]العمليات!$H$2:$H$1000),""))</f>
        <v>6</v>
      </c>
      <c r="E158" s="3">
        <f>IF(A158="","",IFERROR(LOOKUP(2,1/(([1]العمليات!$B$2:$B$1000=A158)*([1]العمليات!$I$2:$I$1000&lt;&gt;"")),[1]العمليات!$I$2:$I$1000),""))</f>
        <v>5</v>
      </c>
    </row>
    <row r="159" spans="1:5" x14ac:dyDescent="0.35">
      <c r="A159" s="5" t="s">
        <v>565</v>
      </c>
      <c r="B159" s="5" t="s">
        <v>566</v>
      </c>
      <c r="C159" s="6">
        <f>SUMIFS([1]العمليات!G:G, [1]العمليات!B:B, A159, [1]العمليات!C:C, "إدخال") - SUMIFS([1]العمليات!G:G, [1]العمليات!B:B, A159, [1]العمليات!C:C, "إخراج")</f>
        <v>0</v>
      </c>
      <c r="D159" s="5" t="str">
        <f>IF(A159="","",IFERROR(LOOKUP(2,1/(([1]العمليات!$B$2:$B$1000=A159)*([1]العمليات!$H$2:$H$1000&lt;&gt;"")),[1]العمليات!$H$2:$H$1000),""))</f>
        <v/>
      </c>
      <c r="E159" s="5" t="str">
        <f>IF(A159="","",IFERROR(LOOKUP(2,1/(([1]العمليات!$B$2:$B$1000=A159)*([1]العمليات!$I$2:$I$1000&lt;&gt;"")),[1]العمليات!$I$2:$I$1000),""))</f>
        <v/>
      </c>
    </row>
    <row r="160" spans="1:5" x14ac:dyDescent="0.35">
      <c r="A160" s="3" t="s">
        <v>133</v>
      </c>
      <c r="B160" s="3" t="s">
        <v>134</v>
      </c>
      <c r="C160" s="4">
        <f>SUMIFS([1]العمليات!G:G, [1]العمليات!B:B, A160, [1]العمليات!C:C, "إدخال") - SUMIFS([1]العمليات!G:G, [1]العمليات!B:B, A160, [1]العمليات!C:C, "إخراج")</f>
        <v>676</v>
      </c>
      <c r="D160" s="3">
        <f>IF(A160="","",IFERROR(LOOKUP(2,1/(([1]العمليات!$B$2:$B$1000=A160)*([1]العمليات!$H$2:$H$1000&lt;&gt;"")),[1]العمليات!$H$2:$H$1000),""))</f>
        <v>1</v>
      </c>
      <c r="E160" s="3">
        <f>IF(A160="","",IFERROR(LOOKUP(2,1/(([1]العمليات!$B$2:$B$1000=A160)*([1]العمليات!$I$2:$I$1000&lt;&gt;"")),[1]العمليات!$I$2:$I$1000),""))</f>
        <v>5</v>
      </c>
    </row>
    <row r="161" spans="1:5" x14ac:dyDescent="0.35">
      <c r="A161" s="5" t="s">
        <v>135</v>
      </c>
      <c r="B161" s="5" t="s">
        <v>136</v>
      </c>
      <c r="C161" s="6">
        <f>SUMIFS([1]العمليات!G:G, [1]العمليات!B:B, A161, [1]العمليات!C:C, "إدخال") - SUMIFS([1]العمليات!G:G, [1]العمليات!B:B, A161, [1]العمليات!C:C, "إخراج")</f>
        <v>196</v>
      </c>
      <c r="D161" s="5">
        <f>IF(A161="","",IFERROR(LOOKUP(2,1/(([1]العمليات!$B$2:$B$1000=A161)*([1]العمليات!$H$2:$H$1000&lt;&gt;"")),[1]العمليات!$H$2:$H$1000),""))</f>
        <v>4</v>
      </c>
      <c r="E161" s="5">
        <f>IF(A161="","",IFERROR(LOOKUP(2,1/(([1]العمليات!$B$2:$B$1000=A161)*([1]العمليات!$I$2:$I$1000&lt;&gt;"")),[1]العمليات!$I$2:$I$1000),""))</f>
        <v>6</v>
      </c>
    </row>
    <row r="162" spans="1:5" x14ac:dyDescent="0.35">
      <c r="A162" s="3" t="s">
        <v>567</v>
      </c>
      <c r="B162" s="3" t="s">
        <v>568</v>
      </c>
      <c r="C162" s="4">
        <f>SUMIFS([1]العمليات!G:G, [1]العمليات!B:B, A162, [1]العمليات!C:C, "إدخال") - SUMIFS([1]العمليات!G:G, [1]العمليات!B:B, A162, [1]العمليات!C:C, "إخراج")</f>
        <v>0</v>
      </c>
      <c r="D162" s="3" t="str">
        <f>IF(A162="","",IFERROR(LOOKUP(2,1/(([1]العمليات!$B$2:$B$1000=A162)*([1]العمليات!$H$2:$H$1000&lt;&gt;"")),[1]العمليات!$H$2:$H$1000),""))</f>
        <v/>
      </c>
      <c r="E162" s="3" t="str">
        <f>IF(A162="","",IFERROR(LOOKUP(2,1/(([1]العمليات!$B$2:$B$1000=A162)*([1]العمليات!$I$2:$I$1000&lt;&gt;"")),[1]العمليات!$I$2:$I$1000),""))</f>
        <v/>
      </c>
    </row>
    <row r="163" spans="1:5" x14ac:dyDescent="0.35">
      <c r="A163" s="5" t="s">
        <v>569</v>
      </c>
      <c r="B163" s="5" t="s">
        <v>570</v>
      </c>
      <c r="C163" s="6">
        <f>SUMIFS([1]العمليات!G:G, [1]العمليات!B:B, A163, [1]العمليات!C:C, "إدخال") - SUMIFS([1]العمليات!G:G, [1]العمليات!B:B, A163, [1]العمليات!C:C, "إخراج")</f>
        <v>0</v>
      </c>
      <c r="D163" s="5" t="str">
        <f>IF(A163="","",IFERROR(LOOKUP(2,1/(([1]العمليات!$B$2:$B$1000=A163)*([1]العمليات!$H$2:$H$1000&lt;&gt;"")),[1]العمليات!$H$2:$H$1000),""))</f>
        <v/>
      </c>
      <c r="E163" s="5" t="str">
        <f>IF(A163="","",IFERROR(LOOKUP(2,1/(([1]العمليات!$B$2:$B$1000=A163)*([1]العمليات!$I$2:$I$1000&lt;&gt;"")),[1]العمليات!$I$2:$I$1000),""))</f>
        <v/>
      </c>
    </row>
    <row r="164" spans="1:5" x14ac:dyDescent="0.35">
      <c r="A164" s="3" t="s">
        <v>137</v>
      </c>
      <c r="B164" s="3" t="s">
        <v>138</v>
      </c>
      <c r="C164" s="4">
        <f>SUMIFS([1]العمليات!G:G, [1]العمليات!B:B, A164, [1]العمليات!C:C, "إدخال") - SUMIFS([1]العمليات!G:G, [1]العمليات!B:B, A164, [1]العمليات!C:C, "إخراج")</f>
        <v>2757</v>
      </c>
      <c r="D164" s="3">
        <f>IF(A164="","",IFERROR(LOOKUP(2,1/(([1]العمليات!$B$2:$B$1000=A164)*([1]العمليات!$H$2:$H$1000&lt;&gt;"")),[1]العمليات!$H$2:$H$1000),""))</f>
        <v>1</v>
      </c>
      <c r="E164" s="3">
        <f>IF(A164="","",IFERROR(LOOKUP(2,1/(([1]العمليات!$B$2:$B$1000=A164)*([1]العمليات!$I$2:$I$1000&lt;&gt;"")),[1]العمليات!$I$2:$I$1000),""))</f>
        <v>2</v>
      </c>
    </row>
    <row r="165" spans="1:5" x14ac:dyDescent="0.35">
      <c r="A165" s="5" t="s">
        <v>571</v>
      </c>
      <c r="B165" s="5" t="s">
        <v>572</v>
      </c>
      <c r="C165" s="6">
        <f>SUMIFS([1]العمليات!G:G, [1]العمليات!B:B, A165, [1]العمليات!C:C, "إدخال") - SUMIFS([1]العمليات!G:G, [1]العمليات!B:B, A165, [1]العمليات!C:C, "إخراج")</f>
        <v>0</v>
      </c>
      <c r="D165" s="5" t="str">
        <f>IF(A165="","",IFERROR(LOOKUP(2,1/(([1]العمليات!$B$2:$B$1000=A165)*([1]العمليات!$H$2:$H$1000&lt;&gt;"")),[1]العمليات!$H$2:$H$1000),""))</f>
        <v/>
      </c>
      <c r="E165" s="5" t="str">
        <f>IF(A165="","",IFERROR(LOOKUP(2,1/(([1]العمليات!$B$2:$B$1000=A165)*([1]العمليات!$I$2:$I$1000&lt;&gt;"")),[1]العمليات!$I$2:$I$1000),""))</f>
        <v/>
      </c>
    </row>
    <row r="166" spans="1:5" x14ac:dyDescent="0.35">
      <c r="A166" s="3" t="s">
        <v>573</v>
      </c>
      <c r="B166" s="3" t="s">
        <v>574</v>
      </c>
      <c r="C166" s="4">
        <f>SUMIFS([1]العمليات!G:G, [1]العمليات!B:B, A166, [1]العمليات!C:C, "إدخال") - SUMIFS([1]العمليات!G:G, [1]العمليات!B:B, A166, [1]العمليات!C:C, "إخراج")</f>
        <v>0</v>
      </c>
      <c r="D166" s="3" t="str">
        <f>IF(A166="","",IFERROR(LOOKUP(2,1/(([1]العمليات!$B$2:$B$1000=A166)*([1]العمليات!$H$2:$H$1000&lt;&gt;"")),[1]العمليات!$H$2:$H$1000),""))</f>
        <v/>
      </c>
      <c r="E166" s="3" t="str">
        <f>IF(A166="","",IFERROR(LOOKUP(2,1/(([1]العمليات!$B$2:$B$1000=A166)*([1]العمليات!$I$2:$I$1000&lt;&gt;"")),[1]العمليات!$I$2:$I$1000),""))</f>
        <v/>
      </c>
    </row>
    <row r="167" spans="1:5" x14ac:dyDescent="0.35">
      <c r="A167" s="5" t="s">
        <v>139</v>
      </c>
      <c r="B167" s="5" t="s">
        <v>140</v>
      </c>
      <c r="C167" s="6">
        <f>SUMIFS([1]العمليات!G:G, [1]العمليات!B:B, A167, [1]العمليات!C:C, "إدخال") - SUMIFS([1]العمليات!G:G, [1]العمليات!B:B, A167, [1]العمليات!C:C, "إخراج")</f>
        <v>603</v>
      </c>
      <c r="D167" s="5">
        <f>IF(A167="","",IFERROR(LOOKUP(2,1/(([1]العمليات!$B$2:$B$1000=A167)*([1]العمليات!$H$2:$H$1000&lt;&gt;"")),[1]العمليات!$H$2:$H$1000),""))</f>
        <v>4</v>
      </c>
      <c r="E167" s="5">
        <f>IF(A167="","",IFERROR(LOOKUP(2,1/(([1]العمليات!$B$2:$B$1000=A167)*([1]العمليات!$I$2:$I$1000&lt;&gt;"")),[1]العمليات!$I$2:$I$1000),""))</f>
        <v>6</v>
      </c>
    </row>
    <row r="168" spans="1:5" x14ac:dyDescent="0.35">
      <c r="A168" s="3" t="s">
        <v>141</v>
      </c>
      <c r="B168" s="3" t="s">
        <v>142</v>
      </c>
      <c r="C168" s="4">
        <f>SUMIFS([1]العمليات!G:G, [1]العمليات!B:B, A168, [1]العمليات!C:C, "إدخال") - SUMIFS([1]العمليات!G:G, [1]العمليات!B:B, A168, [1]العمليات!C:C, "إخراج")</f>
        <v>574</v>
      </c>
      <c r="D168" s="3">
        <f>IF(A168="","",IFERROR(LOOKUP(2,1/(([1]العمليات!$B$2:$B$1000=A168)*([1]العمليات!$H$2:$H$1000&lt;&gt;"")),[1]العمليات!$H$2:$H$1000),""))</f>
        <v>5</v>
      </c>
      <c r="E168" s="3">
        <f>IF(A168="","",IFERROR(LOOKUP(2,1/(([1]العمليات!$B$2:$B$1000=A168)*([1]العمليات!$I$2:$I$1000&lt;&gt;"")),[1]العمليات!$I$2:$I$1000),""))</f>
        <v>6</v>
      </c>
    </row>
    <row r="169" spans="1:5" x14ac:dyDescent="0.35">
      <c r="A169" s="5" t="s">
        <v>575</v>
      </c>
      <c r="B169" s="5" t="s">
        <v>576</v>
      </c>
      <c r="C169" s="6">
        <f>SUMIFS([1]العمليات!G:G, [1]العمليات!B:B, A169, [1]العمليات!C:C, "إدخال") - SUMIFS([1]العمليات!G:G, [1]العمليات!B:B, A169, [1]العمليات!C:C, "إخراج")</f>
        <v>0</v>
      </c>
      <c r="D169" s="5" t="str">
        <f>IF(A169="","",IFERROR(LOOKUP(2,1/(([1]العمليات!$B$2:$B$1000=A169)*([1]العمليات!$H$2:$H$1000&lt;&gt;"")),[1]العمليات!$H$2:$H$1000),""))</f>
        <v/>
      </c>
      <c r="E169" s="5" t="str">
        <f>IF(A169="","",IFERROR(LOOKUP(2,1/(([1]العمليات!$B$2:$B$1000=A169)*([1]العمليات!$I$2:$I$1000&lt;&gt;"")),[1]العمليات!$I$2:$I$1000),""))</f>
        <v/>
      </c>
    </row>
    <row r="170" spans="1:5" x14ac:dyDescent="0.35">
      <c r="A170" s="3" t="s">
        <v>577</v>
      </c>
      <c r="B170" s="3" t="s">
        <v>578</v>
      </c>
      <c r="C170" s="4">
        <f>SUMIFS([1]العمليات!G:G, [1]العمليات!B:B, A170, [1]العمليات!C:C, "إدخال") - SUMIFS([1]العمليات!G:G, [1]العمليات!B:B, A170, [1]العمليات!C:C, "إخراج")</f>
        <v>0</v>
      </c>
      <c r="D170" s="3" t="str">
        <f>IF(A170="","",IFERROR(LOOKUP(2,1/(([1]العمليات!$B$2:$B$1000=A170)*([1]العمليات!$H$2:$H$1000&lt;&gt;"")),[1]العمليات!$H$2:$H$1000),""))</f>
        <v/>
      </c>
      <c r="E170" s="3" t="str">
        <f>IF(A170="","",IFERROR(LOOKUP(2,1/(([1]العمليات!$B$2:$B$1000=A170)*([1]العمليات!$I$2:$I$1000&lt;&gt;"")),[1]العمليات!$I$2:$I$1000),""))</f>
        <v/>
      </c>
    </row>
    <row r="171" spans="1:5" x14ac:dyDescent="0.35">
      <c r="A171" s="5" t="s">
        <v>143</v>
      </c>
      <c r="B171" s="5" t="s">
        <v>144</v>
      </c>
      <c r="C171" s="6">
        <f>SUMIFS([1]العمليات!G:G, [1]العمليات!B:B, A171, [1]العمليات!C:C, "إدخال") - SUMIFS([1]العمليات!G:G, [1]العمليات!B:B, A171, [1]العمليات!C:C, "إخراج")</f>
        <v>2306</v>
      </c>
      <c r="D171" s="5" t="str">
        <f>IF(A171="","",IFERROR(LOOKUP(2,1/(([1]العمليات!$B$2:$B$1000=A171)*([1]العمليات!$H$2:$H$1000&lt;&gt;"")),[1]العمليات!$H$2:$H$1000),""))</f>
        <v>مختوم ومسك</v>
      </c>
      <c r="E171" s="5" t="str">
        <f>IF(A171="","",IFERROR(LOOKUP(2,1/(([1]العمليات!$B$2:$B$1000=A171)*([1]العمليات!$I$2:$I$1000&lt;&gt;"")),[1]العمليات!$I$2:$I$1000),""))</f>
        <v>-</v>
      </c>
    </row>
    <row r="172" spans="1:5" x14ac:dyDescent="0.35">
      <c r="A172" s="3" t="s">
        <v>145</v>
      </c>
      <c r="B172" s="3" t="s">
        <v>146</v>
      </c>
      <c r="C172" s="4">
        <f>SUMIFS([1]العمليات!G:G, [1]العمليات!B:B, A172, [1]العمليات!C:C, "إدخال") - SUMIFS([1]العمليات!G:G, [1]العمليات!B:B, A172, [1]العمليات!C:C, "إخراج")</f>
        <v>889</v>
      </c>
      <c r="D172" s="3">
        <f>IF(A172="","",IFERROR(LOOKUP(2,1/(([1]العمليات!$B$2:$B$1000=A172)*([1]العمليات!$H$2:$H$1000&lt;&gt;"")),[1]العمليات!$H$2:$H$1000),""))</f>
        <v>5</v>
      </c>
      <c r="E172" s="3">
        <f>IF(A172="","",IFERROR(LOOKUP(2,1/(([1]العمليات!$B$2:$B$1000=A172)*([1]العمليات!$I$2:$I$1000&lt;&gt;"")),[1]العمليات!$I$2:$I$1000),""))</f>
        <v>1</v>
      </c>
    </row>
    <row r="173" spans="1:5" x14ac:dyDescent="0.35">
      <c r="A173" s="5" t="s">
        <v>147</v>
      </c>
      <c r="B173" s="5" t="s">
        <v>148</v>
      </c>
      <c r="C173" s="6">
        <f>SUMIFS([1]العمليات!G:G, [1]العمليات!B:B, A173, [1]العمليات!C:C, "إدخال") - SUMIFS([1]العمليات!G:G, [1]العمليات!B:B, A173, [1]العمليات!C:C, "إخراج")</f>
        <v>0</v>
      </c>
      <c r="D173" s="5">
        <f>IF(A173="","",IFERROR(LOOKUP(2,1/(([1]العمليات!$B$2:$B$1000=A173)*([1]العمليات!$H$2:$H$1000&lt;&gt;"")),[1]العمليات!$H$2:$H$1000),""))</f>
        <v>4</v>
      </c>
      <c r="E173" s="5">
        <f>IF(A173="","",IFERROR(LOOKUP(2,1/(([1]العمليات!$B$2:$B$1000=A173)*([1]العمليات!$I$2:$I$1000&lt;&gt;"")),[1]العمليات!$I$2:$I$1000),""))</f>
        <v>2</v>
      </c>
    </row>
    <row r="174" spans="1:5" x14ac:dyDescent="0.35">
      <c r="A174" s="3" t="s">
        <v>579</v>
      </c>
      <c r="B174" s="3" t="s">
        <v>580</v>
      </c>
      <c r="C174" s="4">
        <f>SUMIFS([1]العمليات!G:G, [1]العمليات!B:B, A174, [1]العمليات!C:C, "إدخال") - SUMIFS([1]العمليات!G:G, [1]العمليات!B:B, A174, [1]العمليات!C:C, "إخراج")</f>
        <v>0</v>
      </c>
      <c r="D174" s="3" t="str">
        <f>IF(A174="","",IFERROR(LOOKUP(2,1/(([1]العمليات!$B$2:$B$1000=A174)*([1]العمليات!$H$2:$H$1000&lt;&gt;"")),[1]العمليات!$H$2:$H$1000),""))</f>
        <v/>
      </c>
      <c r="E174" s="3" t="str">
        <f>IF(A174="","",IFERROR(LOOKUP(2,1/(([1]العمليات!$B$2:$B$1000=A174)*([1]العمليات!$I$2:$I$1000&lt;&gt;"")),[1]العمليات!$I$2:$I$1000),""))</f>
        <v/>
      </c>
    </row>
    <row r="175" spans="1:5" x14ac:dyDescent="0.35">
      <c r="A175" s="5" t="s">
        <v>149</v>
      </c>
      <c r="B175" s="5" t="s">
        <v>150</v>
      </c>
      <c r="C175" s="6">
        <f>SUMIFS([1]العمليات!G:G, [1]العمليات!B:B, A175, [1]العمليات!C:C, "إدخال") - SUMIFS([1]العمليات!G:G, [1]العمليات!B:B, A175, [1]العمليات!C:C, "إخراج")</f>
        <v>1008</v>
      </c>
      <c r="D175" s="5">
        <f>IF(A175="","",IFERROR(LOOKUP(2,1/(([1]العمليات!$B$2:$B$1000=A175)*([1]العمليات!$H$2:$H$1000&lt;&gt;"")),[1]العمليات!$H$2:$H$1000),""))</f>
        <v>5</v>
      </c>
      <c r="E175" s="5">
        <f>IF(A175="","",IFERROR(LOOKUP(2,1/(([1]العمليات!$B$2:$B$1000=A175)*([1]العمليات!$I$2:$I$1000&lt;&gt;"")),[1]العمليات!$I$2:$I$1000),""))</f>
        <v>1</v>
      </c>
    </row>
    <row r="176" spans="1:5" x14ac:dyDescent="0.35">
      <c r="A176" s="3" t="s">
        <v>151</v>
      </c>
      <c r="B176" s="3" t="s">
        <v>152</v>
      </c>
      <c r="C176" s="4">
        <f>SUMIFS([1]العمليات!G:G, [1]العمليات!B:B, A176, [1]العمليات!C:C, "إدخال") - SUMIFS([1]العمليات!G:G, [1]العمليات!B:B, A176, [1]العمليات!C:C, "إخراج")</f>
        <v>700</v>
      </c>
      <c r="D176" s="3">
        <f>IF(A176="","",IFERROR(LOOKUP(2,1/(([1]العمليات!$B$2:$B$1000=A176)*([1]العمليات!$H$2:$H$1000&lt;&gt;"")),[1]العمليات!$H$2:$H$1000),""))</f>
        <v>4</v>
      </c>
      <c r="E176" s="3">
        <f>IF(A176="","",IFERROR(LOOKUP(2,1/(([1]العمليات!$B$2:$B$1000=A176)*([1]العمليات!$I$2:$I$1000&lt;&gt;"")),[1]العمليات!$I$2:$I$1000),""))</f>
        <v>2</v>
      </c>
    </row>
    <row r="177" spans="1:5" x14ac:dyDescent="0.35">
      <c r="A177" s="5" t="s">
        <v>581</v>
      </c>
      <c r="B177" s="5" t="s">
        <v>582</v>
      </c>
      <c r="C177" s="6">
        <f>SUMIFS([1]العمليات!G:G, [1]العمليات!B:B, A177, [1]العمليات!C:C, "إدخال") - SUMIFS([1]العمليات!G:G, [1]العمليات!B:B, A177, [1]العمليات!C:C, "إخراج")</f>
        <v>0</v>
      </c>
      <c r="D177" s="5" t="str">
        <f>IF(A177="","",IFERROR(LOOKUP(2,1/(([1]العمليات!$B$2:$B$1000=A177)*([1]العمليات!$H$2:$H$1000&lt;&gt;"")),[1]العمليات!$H$2:$H$1000),""))</f>
        <v/>
      </c>
      <c r="E177" s="5" t="str">
        <f>IF(A177="","",IFERROR(LOOKUP(2,1/(([1]العمليات!$B$2:$B$1000=A177)*([1]العمليات!$I$2:$I$1000&lt;&gt;"")),[1]العمليات!$I$2:$I$1000),""))</f>
        <v/>
      </c>
    </row>
    <row r="178" spans="1:5" x14ac:dyDescent="0.35">
      <c r="A178" s="3" t="s">
        <v>583</v>
      </c>
      <c r="B178" s="3" t="s">
        <v>584</v>
      </c>
      <c r="C178" s="4">
        <f>SUMIFS([1]العمليات!G:G, [1]العمليات!B:B, A178, [1]العمليات!C:C, "إدخال") - SUMIFS([1]العمليات!G:G, [1]العمليات!B:B, A178, [1]العمليات!C:C, "إخراج")</f>
        <v>0</v>
      </c>
      <c r="D178" s="3" t="str">
        <f>IF(A178="","",IFERROR(LOOKUP(2,1/(([1]العمليات!$B$2:$B$1000=A178)*([1]العمليات!$H$2:$H$1000&lt;&gt;"")),[1]العمليات!$H$2:$H$1000),""))</f>
        <v/>
      </c>
      <c r="E178" s="3" t="str">
        <f>IF(A178="","",IFERROR(LOOKUP(2,1/(([1]العمليات!$B$2:$B$1000=A178)*([1]العمليات!$I$2:$I$1000&lt;&gt;"")),[1]العمليات!$I$2:$I$1000),""))</f>
        <v/>
      </c>
    </row>
    <row r="179" spans="1:5" x14ac:dyDescent="0.35">
      <c r="A179" s="5" t="s">
        <v>585</v>
      </c>
      <c r="B179" s="5" t="s">
        <v>586</v>
      </c>
      <c r="C179" s="6">
        <f>SUMIFS([1]العمليات!G:G, [1]العمليات!B:B, A179, [1]العمليات!C:C, "إدخال") - SUMIFS([1]العمليات!G:G, [1]العمليات!B:B, A179, [1]العمليات!C:C, "إخراج")</f>
        <v>0</v>
      </c>
      <c r="D179" s="5" t="str">
        <f>IF(A179="","",IFERROR(LOOKUP(2,1/(([1]العمليات!$B$2:$B$1000=A179)*([1]العمليات!$H$2:$H$1000&lt;&gt;"")),[1]العمليات!$H$2:$H$1000),""))</f>
        <v/>
      </c>
      <c r="E179" s="5" t="str">
        <f>IF(A179="","",IFERROR(LOOKUP(2,1/(([1]العمليات!$B$2:$B$1000=A179)*([1]العمليات!$I$2:$I$1000&lt;&gt;"")),[1]العمليات!$I$2:$I$1000),""))</f>
        <v/>
      </c>
    </row>
    <row r="180" spans="1:5" x14ac:dyDescent="0.35">
      <c r="A180" s="3" t="s">
        <v>587</v>
      </c>
      <c r="B180" s="3" t="s">
        <v>588</v>
      </c>
      <c r="C180" s="4">
        <f>SUMIFS([1]العمليات!G:G, [1]العمليات!B:B, A180, [1]العمليات!C:C, "إدخال") - SUMIFS([1]العمليات!G:G, [1]العمليات!B:B, A180, [1]العمليات!C:C, "إخراج")</f>
        <v>0</v>
      </c>
      <c r="D180" s="3" t="str">
        <f>IF(A180="","",IFERROR(LOOKUP(2,1/(([1]العمليات!$B$2:$B$1000=A180)*([1]العمليات!$H$2:$H$1000&lt;&gt;"")),[1]العمليات!$H$2:$H$1000),""))</f>
        <v/>
      </c>
      <c r="E180" s="3" t="str">
        <f>IF(A180="","",IFERROR(LOOKUP(2,1/(([1]العمليات!$B$2:$B$1000=A180)*([1]العمليات!$I$2:$I$1000&lt;&gt;"")),[1]العمليات!$I$2:$I$1000),""))</f>
        <v/>
      </c>
    </row>
    <row r="181" spans="1:5" x14ac:dyDescent="0.35">
      <c r="A181" s="5" t="s">
        <v>153</v>
      </c>
      <c r="B181" s="5" t="s">
        <v>154</v>
      </c>
      <c r="C181" s="6">
        <f>SUMIFS([1]العمليات!G:G, [1]العمليات!B:B, A181, [1]العمليات!C:C, "إدخال") - SUMIFS([1]العمليات!G:G, [1]العمليات!B:B, A181, [1]العمليات!C:C, "إخراج")</f>
        <v>286</v>
      </c>
      <c r="D181" s="5" t="str">
        <f>IF(A181="","",IFERROR(LOOKUP(2,1/(([1]العمليات!$B$2:$B$1000=A181)*([1]العمليات!$H$2:$H$1000&lt;&gt;"")),[1]العمليات!$H$2:$H$1000),""))</f>
        <v>مختوم ومسك</v>
      </c>
      <c r="E181" s="5" t="str">
        <f>IF(A181="","",IFERROR(LOOKUP(2,1/(([1]العمليات!$B$2:$B$1000=A181)*([1]العمليات!$I$2:$I$1000&lt;&gt;"")),[1]العمليات!$I$2:$I$1000),""))</f>
        <v>-</v>
      </c>
    </row>
    <row r="182" spans="1:5" x14ac:dyDescent="0.35">
      <c r="A182" s="3" t="s">
        <v>155</v>
      </c>
      <c r="B182" s="3" t="s">
        <v>156</v>
      </c>
      <c r="C182" s="4">
        <f>SUMIFS([1]العمليات!G:G, [1]العمليات!B:B, A182, [1]العمليات!C:C, "إدخال") - SUMIFS([1]العمليات!G:G, [1]العمليات!B:B, A182, [1]العمليات!C:C, "إخراج")</f>
        <v>307</v>
      </c>
      <c r="D182" s="3">
        <f>IF(A182="","",IFERROR(LOOKUP(2,1/(([1]العمليات!$B$2:$B$1000=A182)*([1]العمليات!$H$2:$H$1000&lt;&gt;"")),[1]العمليات!$H$2:$H$1000),""))</f>
        <v>6</v>
      </c>
      <c r="E182" s="3">
        <f>IF(A182="","",IFERROR(LOOKUP(2,1/(([1]العمليات!$B$2:$B$1000=A182)*([1]العمليات!$I$2:$I$1000&lt;&gt;"")),[1]العمليات!$I$2:$I$1000),""))</f>
        <v>2</v>
      </c>
    </row>
    <row r="183" spans="1:5" x14ac:dyDescent="0.35">
      <c r="A183" s="5" t="s">
        <v>589</v>
      </c>
      <c r="B183" s="5" t="s">
        <v>590</v>
      </c>
      <c r="C183" s="6">
        <f>SUMIFS([1]العمليات!G:G, [1]العمليات!B:B, A183, [1]العمليات!C:C, "إدخال") - SUMIFS([1]العمليات!G:G, [1]العمليات!B:B, A183, [1]العمليات!C:C, "إخراج")</f>
        <v>0</v>
      </c>
      <c r="D183" s="5" t="str">
        <f>IF(A183="","",IFERROR(LOOKUP(2,1/(([1]العمليات!$B$2:$B$1000=A183)*([1]العمليات!$H$2:$H$1000&lt;&gt;"")),[1]العمليات!$H$2:$H$1000),""))</f>
        <v/>
      </c>
      <c r="E183" s="5" t="str">
        <f>IF(A183="","",IFERROR(LOOKUP(2,1/(([1]العمليات!$B$2:$B$1000=A183)*([1]العمليات!$I$2:$I$1000&lt;&gt;"")),[1]العمليات!$I$2:$I$1000),""))</f>
        <v/>
      </c>
    </row>
    <row r="184" spans="1:5" x14ac:dyDescent="0.35">
      <c r="A184" s="3" t="s">
        <v>591</v>
      </c>
      <c r="B184" s="3" t="s">
        <v>592</v>
      </c>
      <c r="C184" s="4">
        <f>SUMIFS([1]العمليات!G:G, [1]العمليات!B:B, A184, [1]العمليات!C:C, "إدخال") - SUMIFS([1]العمليات!G:G, [1]العمليات!B:B, A184, [1]العمليات!C:C, "إخراج")</f>
        <v>0</v>
      </c>
      <c r="D184" s="3" t="str">
        <f>IF(A184="","",IFERROR(LOOKUP(2,1/(([1]العمليات!$B$2:$B$1000=A184)*([1]العمليات!$H$2:$H$1000&lt;&gt;"")),[1]العمليات!$H$2:$H$1000),""))</f>
        <v/>
      </c>
      <c r="E184" s="3" t="str">
        <f>IF(A184="","",IFERROR(LOOKUP(2,1/(([1]العمليات!$B$2:$B$1000=A184)*([1]العمليات!$I$2:$I$1000&lt;&gt;"")),[1]العمليات!$I$2:$I$1000),""))</f>
        <v/>
      </c>
    </row>
    <row r="185" spans="1:5" x14ac:dyDescent="0.35">
      <c r="A185" s="5" t="s">
        <v>593</v>
      </c>
      <c r="B185" s="5" t="s">
        <v>594</v>
      </c>
      <c r="C185" s="6">
        <f>SUMIFS([1]العمليات!G:G, [1]العمليات!B:B, A185, [1]العمليات!C:C, "إدخال") - SUMIFS([1]العمليات!G:G, [1]العمليات!B:B, A185, [1]العمليات!C:C, "إخراج")</f>
        <v>0</v>
      </c>
      <c r="D185" s="5" t="str">
        <f>IF(A185="","",IFERROR(LOOKUP(2,1/(([1]العمليات!$B$2:$B$1000=A185)*([1]العمليات!$H$2:$H$1000&lt;&gt;"")),[1]العمليات!$H$2:$H$1000),""))</f>
        <v/>
      </c>
      <c r="E185" s="5" t="str">
        <f>IF(A185="","",IFERROR(LOOKUP(2,1/(([1]العمليات!$B$2:$B$1000=A185)*([1]العمليات!$I$2:$I$1000&lt;&gt;"")),[1]العمليات!$I$2:$I$1000),""))</f>
        <v/>
      </c>
    </row>
    <row r="186" spans="1:5" x14ac:dyDescent="0.35">
      <c r="A186" s="3" t="s">
        <v>157</v>
      </c>
      <c r="B186" s="3" t="s">
        <v>158</v>
      </c>
      <c r="C186" s="4">
        <f>SUMIFS([1]العمليات!G:G, [1]العمليات!B:B, A186, [1]العمليات!C:C, "إدخال") - SUMIFS([1]العمليات!G:G, [1]العمليات!B:B, A186, [1]العمليات!C:C, "إخراج")</f>
        <v>110</v>
      </c>
      <c r="D186" s="3" t="str">
        <f>IF(A186="","",IFERROR(LOOKUP(2,1/(([1]العمليات!$B$2:$B$1000=A186)*([1]العمليات!$H$2:$H$1000&lt;&gt;"")),[1]العمليات!$H$2:$H$1000),""))</f>
        <v>مختوم ومسك</v>
      </c>
      <c r="E186" s="3" t="str">
        <f>IF(A186="","",IFERROR(LOOKUP(2,1/(([1]العمليات!$B$2:$B$1000=A186)*([1]العمليات!$I$2:$I$1000&lt;&gt;"")),[1]العمليات!$I$2:$I$1000),""))</f>
        <v>-</v>
      </c>
    </row>
    <row r="187" spans="1:5" x14ac:dyDescent="0.35">
      <c r="A187" s="5" t="s">
        <v>159</v>
      </c>
      <c r="B187" s="5" t="s">
        <v>160</v>
      </c>
      <c r="C187" s="6">
        <f>SUMIFS([1]العمليات!G:G, [1]العمليات!B:B, A187, [1]العمليات!C:C, "إدخال") - SUMIFS([1]العمليات!G:G, [1]العمليات!B:B, A187, [1]العمليات!C:C, "إخراج")</f>
        <v>10</v>
      </c>
      <c r="D187" s="5" t="str">
        <f>IF(A187="","",IFERROR(LOOKUP(2,1/(([1]العمليات!$B$2:$B$1000=A187)*([1]العمليات!$H$2:$H$1000&lt;&gt;"")),[1]العمليات!$H$2:$H$1000),""))</f>
        <v>مختوم ومسك</v>
      </c>
      <c r="E187" s="5" t="str">
        <f>IF(A187="","",IFERROR(LOOKUP(2,1/(([1]العمليات!$B$2:$B$1000=A187)*([1]العمليات!$I$2:$I$1000&lt;&gt;"")),[1]العمليات!$I$2:$I$1000),""))</f>
        <v>-</v>
      </c>
    </row>
    <row r="188" spans="1:5" x14ac:dyDescent="0.35">
      <c r="A188" s="3" t="s">
        <v>161</v>
      </c>
      <c r="B188" s="3" t="s">
        <v>162</v>
      </c>
      <c r="C188" s="4">
        <f>SUMIFS([1]العمليات!G:G, [1]العمليات!B:B, A188, [1]العمليات!C:C, "إدخال") - SUMIFS([1]العمليات!G:G, [1]العمليات!B:B, A188, [1]العمليات!C:C, "إخراج")</f>
        <v>868</v>
      </c>
      <c r="D188" s="3">
        <f>IF(A188="","",IFERROR(LOOKUP(2,1/(([1]العمليات!$B$2:$B$1000=A188)*([1]العمليات!$H$2:$H$1000&lt;&gt;"")),[1]العمليات!$H$2:$H$1000),""))</f>
        <v>3</v>
      </c>
      <c r="E188" s="3" t="str">
        <f>IF(A188="","",IFERROR(LOOKUP(2,1/(([1]العمليات!$B$2:$B$1000=A188)*([1]العمليات!$I$2:$I$1000&lt;&gt;"")),[1]العمليات!$I$2:$I$1000),""))</f>
        <v>3ط2</v>
      </c>
    </row>
    <row r="189" spans="1:5" x14ac:dyDescent="0.35">
      <c r="A189" s="5" t="s">
        <v>595</v>
      </c>
      <c r="B189" s="5" t="s">
        <v>596</v>
      </c>
      <c r="C189" s="6">
        <f>SUMIFS([1]العمليات!G:G, [1]العمليات!B:B, A189, [1]العمليات!C:C, "إدخال") - SUMIFS([1]العمليات!G:G, [1]العمليات!B:B, A189, [1]العمليات!C:C, "إخراج")</f>
        <v>0</v>
      </c>
      <c r="D189" s="5" t="str">
        <f>IF(A189="","",IFERROR(LOOKUP(2,1/(([1]العمليات!$B$2:$B$1000=A189)*([1]العمليات!$H$2:$H$1000&lt;&gt;"")),[1]العمليات!$H$2:$H$1000),""))</f>
        <v/>
      </c>
      <c r="E189" s="5" t="str">
        <f>IF(A189="","",IFERROR(LOOKUP(2,1/(([1]العمليات!$B$2:$B$1000=A189)*([1]العمليات!$I$2:$I$1000&lt;&gt;"")),[1]العمليات!$I$2:$I$1000),""))</f>
        <v/>
      </c>
    </row>
    <row r="190" spans="1:5" x14ac:dyDescent="0.35">
      <c r="A190" s="3" t="s">
        <v>163</v>
      </c>
      <c r="B190" s="3" t="s">
        <v>164</v>
      </c>
      <c r="C190" s="4">
        <f>SUMIFS([1]العمليات!G:G, [1]العمليات!B:B, A190, [1]العمليات!C:C, "إدخال") - SUMIFS([1]العمليات!G:G, [1]العمليات!B:B, A190, [1]العمليات!C:C, "إخراج")</f>
        <v>500</v>
      </c>
      <c r="D190" s="3">
        <f>IF(A190="","",IFERROR(LOOKUP(2,1/(([1]العمليات!$B$2:$B$1000=A190)*([1]العمليات!$H$2:$H$1000&lt;&gt;"")),[1]العمليات!$H$2:$H$1000),""))</f>
        <v>3</v>
      </c>
      <c r="E190" s="3">
        <f>IF(A190="","",IFERROR(LOOKUP(2,1/(([1]العمليات!$B$2:$B$1000=A190)*([1]العمليات!$I$2:$I$1000&lt;&gt;"")),[1]العمليات!$I$2:$I$1000),""))</f>
        <v>6</v>
      </c>
    </row>
    <row r="191" spans="1:5" x14ac:dyDescent="0.35">
      <c r="A191" s="5" t="s">
        <v>597</v>
      </c>
      <c r="B191" s="5" t="s">
        <v>598</v>
      </c>
      <c r="C191" s="6">
        <f>SUMIFS([1]العمليات!G:G, [1]العمليات!B:B, A191, [1]العمليات!C:C, "إدخال") - SUMIFS([1]العمليات!G:G, [1]العمليات!B:B, A191, [1]العمليات!C:C, "إخراج")</f>
        <v>0</v>
      </c>
      <c r="D191" s="5" t="str">
        <f>IF(A191="","",IFERROR(LOOKUP(2,1/(([1]العمليات!$B$2:$B$1000=A191)*([1]العمليات!$H$2:$H$1000&lt;&gt;"")),[1]العمليات!$H$2:$H$1000),""))</f>
        <v/>
      </c>
      <c r="E191" s="5" t="str">
        <f>IF(A191="","",IFERROR(LOOKUP(2,1/(([1]العمليات!$B$2:$B$1000=A191)*([1]العمليات!$I$2:$I$1000&lt;&gt;"")),[1]العمليات!$I$2:$I$1000),""))</f>
        <v/>
      </c>
    </row>
    <row r="192" spans="1:5" x14ac:dyDescent="0.35">
      <c r="A192" s="3" t="s">
        <v>599</v>
      </c>
      <c r="B192" s="3" t="s">
        <v>600</v>
      </c>
      <c r="C192" s="4">
        <f>SUMIFS([1]العمليات!G:G, [1]العمليات!B:B, A192, [1]العمليات!C:C, "إدخال") - SUMIFS([1]العمليات!G:G, [1]العمليات!B:B, A192, [1]العمليات!C:C, "إخراج")</f>
        <v>0</v>
      </c>
      <c r="D192" s="3" t="str">
        <f>IF(A192="","",IFERROR(LOOKUP(2,1/(([1]العمليات!$B$2:$B$1000=A192)*([1]العمليات!$H$2:$H$1000&lt;&gt;"")),[1]العمليات!$H$2:$H$1000),""))</f>
        <v/>
      </c>
      <c r="E192" s="3" t="str">
        <f>IF(A192="","",IFERROR(LOOKUP(2,1/(([1]العمليات!$B$2:$B$1000=A192)*([1]العمليات!$I$2:$I$1000&lt;&gt;"")),[1]العمليات!$I$2:$I$1000),""))</f>
        <v/>
      </c>
    </row>
    <row r="193" spans="1:5" x14ac:dyDescent="0.35">
      <c r="A193" s="5" t="s">
        <v>165</v>
      </c>
      <c r="B193" s="5" t="s">
        <v>166</v>
      </c>
      <c r="C193" s="6">
        <f>SUMIFS([1]العمليات!G:G, [1]العمليات!B:B, A193, [1]العمليات!C:C, "إدخال") - SUMIFS([1]العمليات!G:G, [1]العمليات!B:B, A193, [1]العمليات!C:C, "إخراج")</f>
        <v>707</v>
      </c>
      <c r="D193" s="5">
        <f>IF(A193="","",IFERROR(LOOKUP(2,1/(([1]العمليات!$B$2:$B$1000=A193)*([1]العمليات!$H$2:$H$1000&lt;&gt;"")),[1]العمليات!$H$2:$H$1000),""))</f>
        <v>6</v>
      </c>
      <c r="E193" s="5">
        <f>IF(A193="","",IFERROR(LOOKUP(2,1/(([1]العمليات!$B$2:$B$1000=A193)*([1]العمليات!$I$2:$I$1000&lt;&gt;"")),[1]العمليات!$I$2:$I$1000),""))</f>
        <v>3</v>
      </c>
    </row>
    <row r="194" spans="1:5" x14ac:dyDescent="0.35">
      <c r="A194" s="3" t="s">
        <v>167</v>
      </c>
      <c r="B194" s="3" t="s">
        <v>168</v>
      </c>
      <c r="C194" s="4">
        <f>SUMIFS([1]العمليات!G:G, [1]العمليات!B:B, A194, [1]العمليات!C:C, "إدخال") - SUMIFS([1]العمليات!G:G, [1]العمليات!B:B, A194, [1]العمليات!C:C, "إخراج")</f>
        <v>120</v>
      </c>
      <c r="D194" s="3">
        <f>IF(A194="","",IFERROR(LOOKUP(2,1/(([1]العمليات!$B$2:$B$1000=A194)*([1]العمليات!$H$2:$H$1000&lt;&gt;"")),[1]العمليات!$H$2:$H$1000),""))</f>
        <v>3</v>
      </c>
      <c r="E194" s="3">
        <f>IF(A194="","",IFERROR(LOOKUP(2,1/(([1]العمليات!$B$2:$B$1000=A194)*([1]العمليات!$I$2:$I$1000&lt;&gt;"")),[1]العمليات!$I$2:$I$1000),""))</f>
        <v>7</v>
      </c>
    </row>
    <row r="195" spans="1:5" x14ac:dyDescent="0.35">
      <c r="A195" s="5" t="s">
        <v>169</v>
      </c>
      <c r="B195" s="5" t="s">
        <v>170</v>
      </c>
      <c r="C195" s="6">
        <f>SUMIFS([1]العمليات!G:G, [1]العمليات!B:B, A195, [1]العمليات!C:C, "إدخال") - SUMIFS([1]العمليات!G:G, [1]العمليات!B:B, A195, [1]العمليات!C:C, "إخراج")</f>
        <v>213</v>
      </c>
      <c r="D195" s="5">
        <f>IF(A195="","",IFERROR(LOOKUP(2,1/(([1]العمليات!$B$2:$B$1000=A195)*([1]العمليات!$H$2:$H$1000&lt;&gt;"")),[1]العمليات!$H$2:$H$1000),""))</f>
        <v>1</v>
      </c>
      <c r="E195" s="5">
        <f>IF(A195="","",IFERROR(LOOKUP(2,1/(([1]العمليات!$B$2:$B$1000=A195)*([1]العمليات!$I$2:$I$1000&lt;&gt;"")),[1]العمليات!$I$2:$I$1000),""))</f>
        <v>5</v>
      </c>
    </row>
    <row r="196" spans="1:5" x14ac:dyDescent="0.35">
      <c r="A196" s="3" t="s">
        <v>171</v>
      </c>
      <c r="B196" s="3" t="s">
        <v>172</v>
      </c>
      <c r="C196" s="4">
        <f>SUMIFS([1]العمليات!G:G, [1]العمليات!B:B, A196, [1]العمليات!C:C, "إدخال") - SUMIFS([1]العمليات!G:G, [1]العمليات!B:B, A196, [1]العمليات!C:C, "إخراج")</f>
        <v>951</v>
      </c>
      <c r="D196" s="3">
        <f>IF(A196="","",IFERROR(LOOKUP(2,1/(([1]العمليات!$B$2:$B$1000=A196)*([1]العمليات!$H$2:$H$1000&lt;&gt;"")),[1]العمليات!$H$2:$H$1000),""))</f>
        <v>4</v>
      </c>
      <c r="E196" s="3">
        <f>IF(A196="","",IFERROR(LOOKUP(2,1/(([1]العمليات!$B$2:$B$1000=A196)*([1]العمليات!$I$2:$I$1000&lt;&gt;"")),[1]العمليات!$I$2:$I$1000),""))</f>
        <v>4</v>
      </c>
    </row>
    <row r="197" spans="1:5" x14ac:dyDescent="0.35">
      <c r="A197" s="5" t="s">
        <v>601</v>
      </c>
      <c r="B197" s="5" t="s">
        <v>602</v>
      </c>
      <c r="C197" s="6">
        <f>SUMIFS([1]العمليات!G:G, [1]العمليات!B:B, A197, [1]العمليات!C:C, "إدخال") - SUMIFS([1]العمليات!G:G, [1]العمليات!B:B, A197, [1]العمليات!C:C, "إخراج")</f>
        <v>0</v>
      </c>
      <c r="D197" s="5" t="str">
        <f>IF(A197="","",IFERROR(LOOKUP(2,1/(([1]العمليات!$B$2:$B$1000=A197)*([1]العمليات!$H$2:$H$1000&lt;&gt;"")),[1]العمليات!$H$2:$H$1000),""))</f>
        <v/>
      </c>
      <c r="E197" s="5" t="str">
        <f>IF(A197="","",IFERROR(LOOKUP(2,1/(([1]العمليات!$B$2:$B$1000=A197)*([1]العمليات!$I$2:$I$1000&lt;&gt;"")),[1]العمليات!$I$2:$I$1000),""))</f>
        <v/>
      </c>
    </row>
    <row r="198" spans="1:5" x14ac:dyDescent="0.35">
      <c r="A198" s="3" t="s">
        <v>603</v>
      </c>
      <c r="B198" s="3" t="s">
        <v>604</v>
      </c>
      <c r="C198" s="4">
        <f>SUMIFS([1]العمليات!G:G, [1]العمليات!B:B, A198, [1]العمليات!C:C, "إدخال") - SUMIFS([1]العمليات!G:G, [1]العمليات!B:B, A198, [1]العمليات!C:C, "إخراج")</f>
        <v>0</v>
      </c>
      <c r="D198" s="3" t="str">
        <f>IF(A198="","",IFERROR(LOOKUP(2,1/(([1]العمليات!$B$2:$B$1000=A198)*([1]العمليات!$H$2:$H$1000&lt;&gt;"")),[1]العمليات!$H$2:$H$1000),""))</f>
        <v/>
      </c>
      <c r="E198" s="3" t="str">
        <f>IF(A198="","",IFERROR(LOOKUP(2,1/(([1]العمليات!$B$2:$B$1000=A198)*([1]العمليات!$I$2:$I$1000&lt;&gt;"")),[1]العمليات!$I$2:$I$1000),""))</f>
        <v/>
      </c>
    </row>
    <row r="199" spans="1:5" x14ac:dyDescent="0.35">
      <c r="A199" s="5" t="s">
        <v>173</v>
      </c>
      <c r="B199" s="5" t="s">
        <v>174</v>
      </c>
      <c r="C199" s="6">
        <f>SUMIFS([1]العمليات!G:G, [1]العمليات!B:B, A199, [1]العمليات!C:C, "إدخال") - SUMIFS([1]العمليات!G:G, [1]العمليات!B:B, A199, [1]العمليات!C:C, "إخراج")</f>
        <v>535</v>
      </c>
      <c r="D199" s="5">
        <f>IF(A199="","",IFERROR(LOOKUP(2,1/(([1]العمليات!$B$2:$B$1000=A199)*([1]العمليات!$H$2:$H$1000&lt;&gt;"")),[1]العمليات!$H$2:$H$1000),""))</f>
        <v>3</v>
      </c>
      <c r="E199" s="5">
        <f>IF(A199="","",IFERROR(LOOKUP(2,1/(([1]العمليات!$B$2:$B$1000=A199)*([1]العمليات!$I$2:$I$1000&lt;&gt;"")),[1]العمليات!$I$2:$I$1000),""))</f>
        <v>1</v>
      </c>
    </row>
    <row r="200" spans="1:5" x14ac:dyDescent="0.35">
      <c r="A200" s="3" t="s">
        <v>605</v>
      </c>
      <c r="B200" s="3" t="s">
        <v>606</v>
      </c>
      <c r="C200" s="4">
        <f>SUMIFS([1]العمليات!G:G, [1]العمليات!B:B, A200, [1]العمليات!C:C, "إدخال") - SUMIFS([1]العمليات!G:G, [1]العمليات!B:B, A200, [1]العمليات!C:C, "إخراج")</f>
        <v>0</v>
      </c>
      <c r="D200" s="3" t="str">
        <f>IF(A200="","",IFERROR(LOOKUP(2,1/(([1]العمليات!$B$2:$B$1000=A200)*([1]العمليات!$H$2:$H$1000&lt;&gt;"")),[1]العمليات!$H$2:$H$1000),""))</f>
        <v/>
      </c>
      <c r="E200" s="3" t="str">
        <f>IF(A200="","",IFERROR(LOOKUP(2,1/(([1]العمليات!$B$2:$B$1000=A200)*([1]العمليات!$I$2:$I$1000&lt;&gt;"")),[1]العمليات!$I$2:$I$1000),""))</f>
        <v/>
      </c>
    </row>
    <row r="201" spans="1:5" x14ac:dyDescent="0.35">
      <c r="A201" s="5" t="s">
        <v>175</v>
      </c>
      <c r="B201" s="5" t="s">
        <v>176</v>
      </c>
      <c r="C201" s="6">
        <f>SUMIFS([1]العمليات!G:G, [1]العمليات!B:B, A201, [1]العمليات!C:C, "إدخال") - SUMIFS([1]العمليات!G:G, [1]العمليات!B:B, A201, [1]العمليات!C:C, "إخراج")</f>
        <v>202</v>
      </c>
      <c r="D201" s="5">
        <f>IF(A201="","",IFERROR(LOOKUP(2,1/(([1]العمليات!$B$2:$B$1000=A201)*([1]العمليات!$H$2:$H$1000&lt;&gt;"")),[1]العمليات!$H$2:$H$1000),""))</f>
        <v>5</v>
      </c>
      <c r="E201" s="5">
        <f>IF(A201="","",IFERROR(LOOKUP(2,1/(([1]العمليات!$B$2:$B$1000=A201)*([1]العمليات!$I$2:$I$1000&lt;&gt;"")),[1]العمليات!$I$2:$I$1000),""))</f>
        <v>3</v>
      </c>
    </row>
    <row r="202" spans="1:5" x14ac:dyDescent="0.35">
      <c r="A202" s="3" t="s">
        <v>177</v>
      </c>
      <c r="B202" s="3" t="s">
        <v>178</v>
      </c>
      <c r="C202" s="4">
        <f>SUMIFS([1]العمليات!G:G, [1]العمليات!B:B, A202, [1]العمليات!C:C, "إدخال") - SUMIFS([1]العمليات!G:G, [1]العمليات!B:B, A202, [1]العمليات!C:C, "إخراج")</f>
        <v>215</v>
      </c>
      <c r="D202" s="3">
        <f>IF(A202="","",IFERROR(LOOKUP(2,1/(([1]العمليات!$B$2:$B$1000=A202)*([1]العمليات!$H$2:$H$1000&lt;&gt;"")),[1]العمليات!$H$2:$H$1000),""))</f>
        <v>2</v>
      </c>
      <c r="E202" s="3">
        <f>IF(A202="","",IFERROR(LOOKUP(2,1/(([1]العمليات!$B$2:$B$1000=A202)*([1]العمليات!$I$2:$I$1000&lt;&gt;"")),[1]العمليات!$I$2:$I$1000),""))</f>
        <v>5</v>
      </c>
    </row>
    <row r="203" spans="1:5" x14ac:dyDescent="0.35">
      <c r="A203" s="5" t="s">
        <v>179</v>
      </c>
      <c r="B203" s="5" t="s">
        <v>180</v>
      </c>
      <c r="C203" s="6">
        <f>SUMIFS([1]العمليات!G:G, [1]العمليات!B:B, A203, [1]العمليات!C:C, "إدخال") - SUMIFS([1]العمليات!G:G, [1]العمليات!B:B, A203, [1]العمليات!C:C, "إخراج")</f>
        <v>205</v>
      </c>
      <c r="D203" s="5">
        <f>IF(A203="","",IFERROR(LOOKUP(2,1/(([1]العمليات!$B$2:$B$1000=A203)*([1]العمليات!$H$2:$H$1000&lt;&gt;"")),[1]العمليات!$H$2:$H$1000),""))</f>
        <v>1</v>
      </c>
      <c r="E203" s="5">
        <f>IF(A203="","",IFERROR(LOOKUP(2,1/(([1]العمليات!$B$2:$B$1000=A203)*([1]العمليات!$I$2:$I$1000&lt;&gt;"")),[1]العمليات!$I$2:$I$1000),""))</f>
        <v>4</v>
      </c>
    </row>
    <row r="204" spans="1:5" x14ac:dyDescent="0.35">
      <c r="A204" s="3" t="s">
        <v>181</v>
      </c>
      <c r="B204" s="3" t="s">
        <v>182</v>
      </c>
      <c r="C204" s="4">
        <f>SUMIFS([1]العمليات!G:G, [1]العمليات!B:B, A204, [1]العمليات!C:C, "إدخال") - SUMIFS([1]العمليات!G:G, [1]العمليات!B:B, A204, [1]العمليات!C:C, "إخراج")</f>
        <v>1802</v>
      </c>
      <c r="D204" s="3">
        <f>IF(A204="","",IFERROR(LOOKUP(2,1/(([1]العمليات!$B$2:$B$1000=A204)*([1]العمليات!$H$2:$H$1000&lt;&gt;"")),[1]العمليات!$H$2:$H$1000),""))</f>
        <v>3</v>
      </c>
      <c r="E204" s="3">
        <f>IF(A204="","",IFERROR(LOOKUP(2,1/(([1]العمليات!$B$2:$B$1000=A204)*([1]العمليات!$I$2:$I$1000&lt;&gt;"")),[1]العمليات!$I$2:$I$1000),""))</f>
        <v>7</v>
      </c>
    </row>
    <row r="205" spans="1:5" x14ac:dyDescent="0.35">
      <c r="A205" s="5" t="s">
        <v>607</v>
      </c>
      <c r="B205" s="5" t="s">
        <v>608</v>
      </c>
      <c r="C205" s="6">
        <f>SUMIFS([1]العمليات!G:G, [1]العمليات!B:B, A205, [1]العمليات!C:C, "إدخال") - SUMIFS([1]العمليات!G:G, [1]العمليات!B:B, A205, [1]العمليات!C:C, "إخراج")</f>
        <v>0</v>
      </c>
      <c r="D205" s="5" t="str">
        <f>IF(A205="","",IFERROR(LOOKUP(2,1/(([1]العمليات!$B$2:$B$1000=A205)*([1]العمليات!$H$2:$H$1000&lt;&gt;"")),[1]العمليات!$H$2:$H$1000),""))</f>
        <v/>
      </c>
      <c r="E205" s="5" t="str">
        <f>IF(A205="","",IFERROR(LOOKUP(2,1/(([1]العمليات!$B$2:$B$1000=A205)*([1]العمليات!$I$2:$I$1000&lt;&gt;"")),[1]العمليات!$I$2:$I$1000),""))</f>
        <v/>
      </c>
    </row>
    <row r="206" spans="1:5" x14ac:dyDescent="0.35">
      <c r="A206" s="3" t="s">
        <v>609</v>
      </c>
      <c r="B206" s="3" t="s">
        <v>610</v>
      </c>
      <c r="C206" s="4">
        <f>SUMIFS([1]العمليات!G:G, [1]العمليات!B:B, A206, [1]العمليات!C:C, "إدخال") - SUMIFS([1]العمليات!G:G, [1]العمليات!B:B, A206, [1]العمليات!C:C, "إخراج")</f>
        <v>0</v>
      </c>
      <c r="D206" s="3" t="str">
        <f>IF(A206="","",IFERROR(LOOKUP(2,1/(([1]العمليات!$B$2:$B$1000=A206)*([1]العمليات!$H$2:$H$1000&lt;&gt;"")),[1]العمليات!$H$2:$H$1000),""))</f>
        <v/>
      </c>
      <c r="E206" s="3" t="str">
        <f>IF(A206="","",IFERROR(LOOKUP(2,1/(([1]العمليات!$B$2:$B$1000=A206)*([1]العمليات!$I$2:$I$1000&lt;&gt;"")),[1]العمليات!$I$2:$I$1000),""))</f>
        <v/>
      </c>
    </row>
    <row r="207" spans="1:5" x14ac:dyDescent="0.35">
      <c r="A207" s="5" t="s">
        <v>611</v>
      </c>
      <c r="B207" s="5" t="s">
        <v>612</v>
      </c>
      <c r="C207" s="6">
        <f>SUMIFS([1]العمليات!G:G, [1]العمليات!B:B, A207, [1]العمليات!C:C, "إدخال") - SUMIFS([1]العمليات!G:G, [1]العمليات!B:B, A207, [1]العمليات!C:C, "إخراج")</f>
        <v>0</v>
      </c>
      <c r="D207" s="5" t="str">
        <f>IF(A207="","",IFERROR(LOOKUP(2,1/(([1]العمليات!$B$2:$B$1000=A207)*([1]العمليات!$H$2:$H$1000&lt;&gt;"")),[1]العمليات!$H$2:$H$1000),""))</f>
        <v/>
      </c>
      <c r="E207" s="5" t="str">
        <f>IF(A207="","",IFERROR(LOOKUP(2,1/(([1]العمليات!$B$2:$B$1000=A207)*([1]العمليات!$I$2:$I$1000&lt;&gt;"")),[1]العمليات!$I$2:$I$1000),""))</f>
        <v/>
      </c>
    </row>
    <row r="208" spans="1:5" x14ac:dyDescent="0.35">
      <c r="A208" s="3" t="s">
        <v>183</v>
      </c>
      <c r="B208" s="3" t="s">
        <v>184</v>
      </c>
      <c r="C208" s="4">
        <f>SUMIFS([1]العمليات!G:G, [1]العمليات!B:B, A208, [1]العمليات!C:C, "إدخال") - SUMIFS([1]العمليات!G:G, [1]العمليات!B:B, A208, [1]العمليات!C:C, "إخراج")</f>
        <v>112</v>
      </c>
      <c r="D208" s="3">
        <f>IF(A208="","",IFERROR(LOOKUP(2,1/(([1]العمليات!$B$2:$B$1000=A208)*([1]العمليات!$H$2:$H$1000&lt;&gt;"")),[1]العمليات!$H$2:$H$1000),""))</f>
        <v>5</v>
      </c>
      <c r="E208" s="3">
        <f>IF(A208="","",IFERROR(LOOKUP(2,1/(([1]العمليات!$B$2:$B$1000=A208)*([1]العمليات!$I$2:$I$1000&lt;&gt;"")),[1]العمليات!$I$2:$I$1000),""))</f>
        <v>6</v>
      </c>
    </row>
    <row r="209" spans="1:5" x14ac:dyDescent="0.35">
      <c r="A209" s="5" t="s">
        <v>185</v>
      </c>
      <c r="B209" s="5" t="s">
        <v>186</v>
      </c>
      <c r="C209" s="6">
        <f>SUMIFS([1]العمليات!G:G, [1]العمليات!B:B, A209, [1]العمليات!C:C, "إدخال") - SUMIFS([1]العمليات!G:G, [1]العمليات!B:B, A209, [1]العمليات!C:C, "إخراج")</f>
        <v>402</v>
      </c>
      <c r="D209" s="5">
        <f>IF(A209="","",IFERROR(LOOKUP(2,1/(([1]العمليات!$B$2:$B$1000=A209)*([1]العمليات!$H$2:$H$1000&lt;&gt;"")),[1]العمليات!$H$2:$H$1000),""))</f>
        <v>3</v>
      </c>
      <c r="E209" s="5" t="str">
        <f>IF(A209="","",IFERROR(LOOKUP(2,1/(([1]العمليات!$B$2:$B$1000=A209)*([1]العمليات!$I$2:$I$1000&lt;&gt;"")),[1]العمليات!$I$2:$I$1000),""))</f>
        <v>2ط2</v>
      </c>
    </row>
    <row r="210" spans="1:5" x14ac:dyDescent="0.35">
      <c r="A210" s="3" t="s">
        <v>613</v>
      </c>
      <c r="B210" s="3" t="s">
        <v>614</v>
      </c>
      <c r="C210" s="4">
        <f>SUMIFS([1]العمليات!G:G, [1]العمليات!B:B, A210, [1]العمليات!C:C, "إدخال") - SUMIFS([1]العمليات!G:G, [1]العمليات!B:B, A210, [1]العمليات!C:C, "إخراج")</f>
        <v>0</v>
      </c>
      <c r="D210" s="3" t="str">
        <f>IF(A210="","",IFERROR(LOOKUP(2,1/(([1]العمليات!$B$2:$B$1000=A210)*([1]العمليات!$H$2:$H$1000&lt;&gt;"")),[1]العمليات!$H$2:$H$1000),""))</f>
        <v/>
      </c>
      <c r="E210" s="3" t="str">
        <f>IF(A210="","",IFERROR(LOOKUP(2,1/(([1]العمليات!$B$2:$B$1000=A210)*([1]العمليات!$I$2:$I$1000&lt;&gt;"")),[1]العمليات!$I$2:$I$1000),""))</f>
        <v/>
      </c>
    </row>
    <row r="211" spans="1:5" x14ac:dyDescent="0.35">
      <c r="A211" s="5" t="s">
        <v>615</v>
      </c>
      <c r="B211" s="5" t="s">
        <v>616</v>
      </c>
      <c r="C211" s="6">
        <f>SUMIFS([1]العمليات!G:G, [1]العمليات!B:B, A211, [1]العمليات!C:C, "إدخال") - SUMIFS([1]العمليات!G:G, [1]العمليات!B:B, A211, [1]العمليات!C:C, "إخراج")</f>
        <v>0</v>
      </c>
      <c r="D211" s="5" t="str">
        <f>IF(A211="","",IFERROR(LOOKUP(2,1/(([1]العمليات!$B$2:$B$1000=A211)*([1]العمليات!$H$2:$H$1000&lt;&gt;"")),[1]العمليات!$H$2:$H$1000),""))</f>
        <v/>
      </c>
      <c r="E211" s="5" t="str">
        <f>IF(A211="","",IFERROR(LOOKUP(2,1/(([1]العمليات!$B$2:$B$1000=A211)*([1]العمليات!$I$2:$I$1000&lt;&gt;"")),[1]العمليات!$I$2:$I$1000),""))</f>
        <v/>
      </c>
    </row>
    <row r="212" spans="1:5" x14ac:dyDescent="0.35">
      <c r="A212" s="3" t="s">
        <v>187</v>
      </c>
      <c r="B212" s="3" t="s">
        <v>188</v>
      </c>
      <c r="C212" s="4">
        <f>SUMIFS([1]العمليات!G:G, [1]العمليات!B:B, A212, [1]العمليات!C:C, "إدخال") - SUMIFS([1]العمليات!G:G, [1]العمليات!B:B, A212, [1]العمليات!C:C, "إخراج")</f>
        <v>54</v>
      </c>
      <c r="D212" s="3">
        <f>IF(A212="","",IFERROR(LOOKUP(2,1/(([1]العمليات!$B$2:$B$1000=A212)*([1]العمليات!$H$2:$H$1000&lt;&gt;"")),[1]العمليات!$H$2:$H$1000),""))</f>
        <v>3</v>
      </c>
      <c r="E212" s="3" t="str">
        <f>IF(A212="","",IFERROR(LOOKUP(2,1/(([1]العمليات!$B$2:$B$1000=A212)*([1]العمليات!$I$2:$I$1000&lt;&gt;"")),[1]العمليات!$I$2:$I$1000),""))</f>
        <v>2ط2</v>
      </c>
    </row>
    <row r="213" spans="1:5" x14ac:dyDescent="0.35">
      <c r="A213" s="5" t="s">
        <v>617</v>
      </c>
      <c r="B213" s="5" t="s">
        <v>618</v>
      </c>
      <c r="C213" s="6">
        <f>SUMIFS([1]العمليات!G:G, [1]العمليات!B:B, A213, [1]العمليات!C:C, "إدخال") - SUMIFS([1]العمليات!G:G, [1]العمليات!B:B, A213, [1]العمليات!C:C, "إخراج")</f>
        <v>0</v>
      </c>
      <c r="D213" s="5" t="str">
        <f>IF(A213="","",IFERROR(LOOKUP(2,1/(([1]العمليات!$B$2:$B$1000=A213)*([1]العمليات!$H$2:$H$1000&lt;&gt;"")),[1]العمليات!$H$2:$H$1000),""))</f>
        <v/>
      </c>
      <c r="E213" s="5" t="str">
        <f>IF(A213="","",IFERROR(LOOKUP(2,1/(([1]العمليات!$B$2:$B$1000=A213)*([1]العمليات!$I$2:$I$1000&lt;&gt;"")),[1]العمليات!$I$2:$I$1000),""))</f>
        <v/>
      </c>
    </row>
    <row r="214" spans="1:5" x14ac:dyDescent="0.35">
      <c r="A214" s="3" t="s">
        <v>619</v>
      </c>
      <c r="B214" s="3" t="s">
        <v>620</v>
      </c>
      <c r="C214" s="4">
        <f>SUMIFS([1]العمليات!G:G, [1]العمليات!B:B, A214, [1]العمليات!C:C, "إدخال") - SUMIFS([1]العمليات!G:G, [1]العمليات!B:B, A214, [1]العمليات!C:C, "إخراج")</f>
        <v>0</v>
      </c>
      <c r="D214" s="3" t="str">
        <f>IF(A214="","",IFERROR(LOOKUP(2,1/(([1]العمليات!$B$2:$B$1000=A214)*([1]العمليات!$H$2:$H$1000&lt;&gt;"")),[1]العمليات!$H$2:$H$1000),""))</f>
        <v/>
      </c>
      <c r="E214" s="3" t="str">
        <f>IF(A214="","",IFERROR(LOOKUP(2,1/(([1]العمليات!$B$2:$B$1000=A214)*([1]العمليات!$I$2:$I$1000&lt;&gt;"")),[1]العمليات!$I$2:$I$1000),""))</f>
        <v/>
      </c>
    </row>
    <row r="215" spans="1:5" x14ac:dyDescent="0.35">
      <c r="A215" s="5" t="s">
        <v>189</v>
      </c>
      <c r="B215" s="5" t="s">
        <v>190</v>
      </c>
      <c r="C215" s="6">
        <f>SUMIFS([1]العمليات!G:G, [1]العمليات!B:B, A215, [1]العمليات!C:C, "إدخال") - SUMIFS([1]العمليات!G:G, [1]العمليات!B:B, A215, [1]العمليات!C:C, "إخراج")</f>
        <v>713</v>
      </c>
      <c r="D215" s="5">
        <f>IF(A215="","",IFERROR(LOOKUP(2,1/(([1]العمليات!$B$2:$B$1000=A215)*([1]العمليات!$H$2:$H$1000&lt;&gt;"")),[1]العمليات!$H$2:$H$1000),""))</f>
        <v>5</v>
      </c>
      <c r="E215" s="5">
        <f>IF(A215="","",IFERROR(LOOKUP(2,1/(([1]العمليات!$B$2:$B$1000=A215)*([1]العمليات!$I$2:$I$1000&lt;&gt;"")),[1]العمليات!$I$2:$I$1000),""))</f>
        <v>2</v>
      </c>
    </row>
    <row r="216" spans="1:5" x14ac:dyDescent="0.35">
      <c r="A216" s="3" t="s">
        <v>621</v>
      </c>
      <c r="B216" s="3" t="s">
        <v>622</v>
      </c>
      <c r="C216" s="4">
        <f>SUMIFS([1]العمليات!G:G, [1]العمليات!B:B, A216, [1]العمليات!C:C, "إدخال") - SUMIFS([1]العمليات!G:G, [1]العمليات!B:B, A216, [1]العمليات!C:C, "إخراج")</f>
        <v>0</v>
      </c>
      <c r="D216" s="3" t="str">
        <f>IF(A216="","",IFERROR(LOOKUP(2,1/(([1]العمليات!$B$2:$B$1000=A216)*([1]العمليات!$H$2:$H$1000&lt;&gt;"")),[1]العمليات!$H$2:$H$1000),""))</f>
        <v/>
      </c>
      <c r="E216" s="3" t="str">
        <f>IF(A216="","",IFERROR(LOOKUP(2,1/(([1]العمليات!$B$2:$B$1000=A216)*([1]العمليات!$I$2:$I$1000&lt;&gt;"")),[1]العمليات!$I$2:$I$1000),""))</f>
        <v/>
      </c>
    </row>
    <row r="217" spans="1:5" x14ac:dyDescent="0.35">
      <c r="A217" s="5" t="s">
        <v>623</v>
      </c>
      <c r="B217" s="5" t="s">
        <v>624</v>
      </c>
      <c r="C217" s="6">
        <f>SUMIFS([1]العمليات!G:G, [1]العمليات!B:B, A217, [1]العمليات!C:C, "إدخال") - SUMIFS([1]العمليات!G:G, [1]العمليات!B:B, A217, [1]العمليات!C:C, "إخراج")</f>
        <v>0</v>
      </c>
      <c r="D217" s="5" t="str">
        <f>IF(A217="","",IFERROR(LOOKUP(2,1/(([1]العمليات!$B$2:$B$1000=A217)*([1]العمليات!$H$2:$H$1000&lt;&gt;"")),[1]العمليات!$H$2:$H$1000),""))</f>
        <v/>
      </c>
      <c r="E217" s="5" t="str">
        <f>IF(A217="","",IFERROR(LOOKUP(2,1/(([1]العمليات!$B$2:$B$1000=A217)*([1]العمليات!$I$2:$I$1000&lt;&gt;"")),[1]العمليات!$I$2:$I$1000),""))</f>
        <v/>
      </c>
    </row>
    <row r="218" spans="1:5" x14ac:dyDescent="0.35">
      <c r="A218" s="3" t="s">
        <v>191</v>
      </c>
      <c r="B218" s="3" t="s">
        <v>192</v>
      </c>
      <c r="C218" s="4">
        <f>SUMIFS([1]العمليات!G:G, [1]العمليات!B:B, A218, [1]العمليات!C:C, "إدخال") - SUMIFS([1]العمليات!G:G, [1]العمليات!B:B, A218, [1]العمليات!C:C, "إخراج")</f>
        <v>556</v>
      </c>
      <c r="D218" s="3">
        <f>IF(A218="","",IFERROR(LOOKUP(2,1/(([1]العمليات!$B$2:$B$1000=A218)*([1]العمليات!$H$2:$H$1000&lt;&gt;"")),[1]العمليات!$H$2:$H$1000),""))</f>
        <v>3</v>
      </c>
      <c r="E218" s="3">
        <f>IF(A218="","",IFERROR(LOOKUP(2,1/(([1]العمليات!$B$2:$B$1000=A218)*([1]العمليات!$I$2:$I$1000&lt;&gt;"")),[1]العمليات!$I$2:$I$1000),""))</f>
        <v>4</v>
      </c>
    </row>
    <row r="219" spans="1:5" x14ac:dyDescent="0.35">
      <c r="A219" s="5" t="s">
        <v>193</v>
      </c>
      <c r="B219" s="5" t="s">
        <v>194</v>
      </c>
      <c r="C219" s="6">
        <f>SUMIFS([1]العمليات!G:G, [1]العمليات!B:B, A219, [1]العمليات!C:C, "إدخال") - SUMIFS([1]العمليات!G:G, [1]العمليات!B:B, A219, [1]العمليات!C:C, "إخراج")</f>
        <v>755</v>
      </c>
      <c r="D219" s="5">
        <f>IF(A219="","",IFERROR(LOOKUP(2,1/(([1]العمليات!$B$2:$B$1000=A219)*([1]العمليات!$H$2:$H$1000&lt;&gt;"")),[1]العمليات!$H$2:$H$1000),""))</f>
        <v>5</v>
      </c>
      <c r="E219" s="5">
        <f>IF(A219="","",IFERROR(LOOKUP(2,1/(([1]العمليات!$B$2:$B$1000=A219)*([1]العمليات!$I$2:$I$1000&lt;&gt;"")),[1]العمليات!$I$2:$I$1000),""))</f>
        <v>4</v>
      </c>
    </row>
    <row r="220" spans="1:5" x14ac:dyDescent="0.35">
      <c r="A220" s="3" t="s">
        <v>195</v>
      </c>
      <c r="B220" s="3" t="s">
        <v>196</v>
      </c>
      <c r="C220" s="4">
        <f>SUMIFS([1]العمليات!G:G, [1]العمليات!B:B, A220, [1]العمليات!C:C, "إدخال") - SUMIFS([1]العمليات!G:G, [1]العمليات!B:B, A220, [1]العمليات!C:C, "إخراج")</f>
        <v>322</v>
      </c>
      <c r="D220" s="3">
        <f>IF(A220="","",IFERROR(LOOKUP(2,1/(([1]العمليات!$B$2:$B$1000=A220)*([1]العمليات!$H$2:$H$1000&lt;&gt;"")),[1]العمليات!$H$2:$H$1000),""))</f>
        <v>5</v>
      </c>
      <c r="E220" s="3">
        <f>IF(A220="","",IFERROR(LOOKUP(2,1/(([1]العمليات!$B$2:$B$1000=A220)*([1]العمليات!$I$2:$I$1000&lt;&gt;"")),[1]العمليات!$I$2:$I$1000),""))</f>
        <v>2</v>
      </c>
    </row>
    <row r="221" spans="1:5" x14ac:dyDescent="0.35">
      <c r="A221" s="5" t="s">
        <v>625</v>
      </c>
      <c r="B221" s="5" t="s">
        <v>626</v>
      </c>
      <c r="C221" s="6">
        <f>SUMIFS([1]العمليات!G:G, [1]العمليات!B:B, A221, [1]العمليات!C:C, "إدخال") - SUMIFS([1]العمليات!G:G, [1]العمليات!B:B, A221, [1]العمليات!C:C, "إخراج")</f>
        <v>0</v>
      </c>
      <c r="D221" s="5" t="str">
        <f>IF(A221="","",IFERROR(LOOKUP(2,1/(([1]العمليات!$B$2:$B$1000=A221)*([1]العمليات!$H$2:$H$1000&lt;&gt;"")),[1]العمليات!$H$2:$H$1000),""))</f>
        <v/>
      </c>
      <c r="E221" s="5" t="str">
        <f>IF(A221="","",IFERROR(LOOKUP(2,1/(([1]العمليات!$B$2:$B$1000=A221)*([1]العمليات!$I$2:$I$1000&lt;&gt;"")),[1]العمليات!$I$2:$I$1000),""))</f>
        <v/>
      </c>
    </row>
    <row r="222" spans="1:5" x14ac:dyDescent="0.35">
      <c r="A222" s="3" t="s">
        <v>627</v>
      </c>
      <c r="B222" s="3" t="s">
        <v>628</v>
      </c>
      <c r="C222" s="4">
        <f>SUMIFS([1]العمليات!G:G, [1]العمليات!B:B, A222, [1]العمليات!C:C, "إدخال") - SUMIFS([1]العمليات!G:G, [1]العمليات!B:B, A222, [1]العمليات!C:C, "إخراج")</f>
        <v>0</v>
      </c>
      <c r="D222" s="3" t="str">
        <f>IF(A222="","",IFERROR(LOOKUP(2,1/(([1]العمليات!$B$2:$B$1000=A222)*([1]العمليات!$H$2:$H$1000&lt;&gt;"")),[1]العمليات!$H$2:$H$1000),""))</f>
        <v/>
      </c>
      <c r="E222" s="3" t="str">
        <f>IF(A222="","",IFERROR(LOOKUP(2,1/(([1]العمليات!$B$2:$B$1000=A222)*([1]العمليات!$I$2:$I$1000&lt;&gt;"")),[1]العمليات!$I$2:$I$1000),""))</f>
        <v/>
      </c>
    </row>
    <row r="223" spans="1:5" x14ac:dyDescent="0.35">
      <c r="A223" s="5" t="s">
        <v>629</v>
      </c>
      <c r="B223" s="5" t="s">
        <v>630</v>
      </c>
      <c r="C223" s="6">
        <f>SUMIFS([1]العمليات!G:G, [1]العمليات!B:B, A223, [1]العمليات!C:C, "إدخال") - SUMIFS([1]العمليات!G:G, [1]العمليات!B:B, A223, [1]العمليات!C:C, "إخراج")</f>
        <v>0</v>
      </c>
      <c r="D223" s="5" t="str">
        <f>IF(A223="","",IFERROR(LOOKUP(2,1/(([1]العمليات!$B$2:$B$1000=A223)*([1]العمليات!$H$2:$H$1000&lt;&gt;"")),[1]العمليات!$H$2:$H$1000),""))</f>
        <v/>
      </c>
      <c r="E223" s="5" t="str">
        <f>IF(A223="","",IFERROR(LOOKUP(2,1/(([1]العمليات!$B$2:$B$1000=A223)*([1]العمليات!$I$2:$I$1000&lt;&gt;"")),[1]العمليات!$I$2:$I$1000),""))</f>
        <v/>
      </c>
    </row>
    <row r="224" spans="1:5" x14ac:dyDescent="0.35">
      <c r="A224" s="3" t="s">
        <v>631</v>
      </c>
      <c r="B224" s="3" t="s">
        <v>632</v>
      </c>
      <c r="C224" s="4">
        <f>SUMIFS([1]العمليات!G:G, [1]العمليات!B:B, A224, [1]العمليات!C:C, "إدخال") - SUMIFS([1]العمليات!G:G, [1]العمليات!B:B, A224, [1]العمليات!C:C, "إخراج")</f>
        <v>0</v>
      </c>
      <c r="D224" s="3" t="str">
        <f>IF(A224="","",IFERROR(LOOKUP(2,1/(([1]العمليات!$B$2:$B$1000=A224)*([1]العمليات!$H$2:$H$1000&lt;&gt;"")),[1]العمليات!$H$2:$H$1000),""))</f>
        <v/>
      </c>
      <c r="E224" s="3" t="str">
        <f>IF(A224="","",IFERROR(LOOKUP(2,1/(([1]العمليات!$B$2:$B$1000=A224)*([1]العمليات!$I$2:$I$1000&lt;&gt;"")),[1]العمليات!$I$2:$I$1000),""))</f>
        <v/>
      </c>
    </row>
    <row r="225" spans="1:5" x14ac:dyDescent="0.35">
      <c r="A225" s="5" t="s">
        <v>633</v>
      </c>
      <c r="B225" s="5" t="s">
        <v>634</v>
      </c>
      <c r="C225" s="6">
        <f>SUMIFS([1]العمليات!G:G, [1]العمليات!B:B, A225, [1]العمليات!C:C, "إدخال") - SUMIFS([1]العمليات!G:G, [1]العمليات!B:B, A225, [1]العمليات!C:C, "إخراج")</f>
        <v>0</v>
      </c>
      <c r="D225" s="5" t="str">
        <f>IF(A225="","",IFERROR(LOOKUP(2,1/(([1]العمليات!$B$2:$B$1000=A225)*([1]العمليات!$H$2:$H$1000&lt;&gt;"")),[1]العمليات!$H$2:$H$1000),""))</f>
        <v/>
      </c>
      <c r="E225" s="5" t="str">
        <f>IF(A225="","",IFERROR(LOOKUP(2,1/(([1]العمليات!$B$2:$B$1000=A225)*([1]العمليات!$I$2:$I$1000&lt;&gt;"")),[1]العمليات!$I$2:$I$1000),""))</f>
        <v/>
      </c>
    </row>
    <row r="226" spans="1:5" x14ac:dyDescent="0.35">
      <c r="A226" s="3" t="s">
        <v>197</v>
      </c>
      <c r="B226" s="3" t="s">
        <v>198</v>
      </c>
      <c r="C226" s="4">
        <f>SUMIFS([1]العمليات!G:G, [1]العمليات!B:B, A226, [1]العمليات!C:C, "إدخال") - SUMIFS([1]العمليات!G:G, [1]العمليات!B:B, A226, [1]العمليات!C:C, "إخراج")</f>
        <v>604</v>
      </c>
      <c r="D226" s="3">
        <f>IF(A226="","",IFERROR(LOOKUP(2,1/(([1]العمليات!$B$2:$B$1000=A226)*([1]العمليات!$H$2:$H$1000&lt;&gt;"")),[1]العمليات!$H$2:$H$1000),""))</f>
        <v>3</v>
      </c>
      <c r="E226" s="3">
        <f>IF(A226="","",IFERROR(LOOKUP(2,1/(([1]العمليات!$B$2:$B$1000=A226)*([1]العمليات!$I$2:$I$1000&lt;&gt;"")),[1]العمليات!$I$2:$I$1000),""))</f>
        <v>5</v>
      </c>
    </row>
    <row r="227" spans="1:5" x14ac:dyDescent="0.35">
      <c r="A227" s="5" t="s">
        <v>199</v>
      </c>
      <c r="B227" s="5" t="s">
        <v>200</v>
      </c>
      <c r="C227" s="6">
        <f>SUMIFS([1]العمليات!G:G, [1]العمليات!B:B, A227, [1]العمليات!C:C, "إدخال") - SUMIFS([1]العمليات!G:G, [1]العمليات!B:B, A227, [1]العمليات!C:C, "إخراج")</f>
        <v>616</v>
      </c>
      <c r="D227" s="5">
        <f>IF(A227="","",IFERROR(LOOKUP(2,1/(([1]العمليات!$B$2:$B$1000=A227)*([1]العمليات!$H$2:$H$1000&lt;&gt;"")),[1]العمليات!$H$2:$H$1000),""))</f>
        <v>1</v>
      </c>
      <c r="E227" s="5">
        <f>IF(A227="","",IFERROR(LOOKUP(2,1/(([1]العمليات!$B$2:$B$1000=A227)*([1]العمليات!$I$2:$I$1000&lt;&gt;"")),[1]العمليات!$I$2:$I$1000),""))</f>
        <v>5</v>
      </c>
    </row>
    <row r="228" spans="1:5" x14ac:dyDescent="0.35">
      <c r="A228" s="3" t="s">
        <v>635</v>
      </c>
      <c r="B228" s="3" t="s">
        <v>636</v>
      </c>
      <c r="C228" s="4">
        <f>SUMIFS([1]العمليات!G:G, [1]العمليات!B:B, A228, [1]العمليات!C:C, "إدخال") - SUMIFS([1]العمليات!G:G, [1]العمليات!B:B, A228, [1]العمليات!C:C, "إخراج")</f>
        <v>0</v>
      </c>
      <c r="D228" s="3" t="str">
        <f>IF(A228="","",IFERROR(LOOKUP(2,1/(([1]العمليات!$B$2:$B$1000=A228)*([1]العمليات!$H$2:$H$1000&lt;&gt;"")),[1]العمليات!$H$2:$H$1000),""))</f>
        <v/>
      </c>
      <c r="E228" s="3" t="str">
        <f>IF(A228="","",IFERROR(LOOKUP(2,1/(([1]العمليات!$B$2:$B$1000=A228)*([1]العمليات!$I$2:$I$1000&lt;&gt;"")),[1]العمليات!$I$2:$I$1000),""))</f>
        <v/>
      </c>
    </row>
    <row r="229" spans="1:5" x14ac:dyDescent="0.35">
      <c r="A229" s="5" t="s">
        <v>201</v>
      </c>
      <c r="B229" s="5" t="s">
        <v>202</v>
      </c>
      <c r="C229" s="6">
        <f>SUMIFS([1]العمليات!G:G, [1]العمليات!B:B, A229, [1]العمليات!C:C, "إدخال") - SUMIFS([1]العمليات!G:G, [1]العمليات!B:B, A229, [1]العمليات!C:C, "إخراج")</f>
        <v>2270</v>
      </c>
      <c r="D229" s="5">
        <f>IF(A229="","",IFERROR(LOOKUP(2,1/(([1]العمليات!$B$2:$B$1000=A229)*([1]العمليات!$H$2:$H$1000&lt;&gt;"")),[1]العمليات!$H$2:$H$1000),""))</f>
        <v>4</v>
      </c>
      <c r="E229" s="5">
        <f>IF(A229="","",IFERROR(LOOKUP(2,1/(([1]العمليات!$B$2:$B$1000=A229)*([1]العمليات!$I$2:$I$1000&lt;&gt;"")),[1]العمليات!$I$2:$I$1000),""))</f>
        <v>2</v>
      </c>
    </row>
    <row r="230" spans="1:5" x14ac:dyDescent="0.35">
      <c r="A230" s="3" t="s">
        <v>203</v>
      </c>
      <c r="B230" s="3" t="s">
        <v>204</v>
      </c>
      <c r="C230" s="4">
        <f>SUMIFS([1]العمليات!G:G, [1]العمليات!B:B, A230, [1]العمليات!C:C, "إدخال") - SUMIFS([1]العمليات!G:G, [1]العمليات!B:B, A230, [1]العمليات!C:C, "إخراج")</f>
        <v>412</v>
      </c>
      <c r="D230" s="3">
        <f>IF(A230="","",IFERROR(LOOKUP(2,1/(([1]العمليات!$B$2:$B$1000=A230)*([1]العمليات!$H$2:$H$1000&lt;&gt;"")),[1]العمليات!$H$2:$H$1000),""))</f>
        <v>2</v>
      </c>
      <c r="E230" s="3">
        <f>IF(A230="","",IFERROR(LOOKUP(2,1/(([1]العمليات!$B$2:$B$1000=A230)*([1]العمليات!$I$2:$I$1000&lt;&gt;"")),[1]العمليات!$I$2:$I$1000),""))</f>
        <v>4</v>
      </c>
    </row>
    <row r="231" spans="1:5" x14ac:dyDescent="0.35">
      <c r="A231" s="5" t="s">
        <v>637</v>
      </c>
      <c r="B231" s="5" t="s">
        <v>638</v>
      </c>
      <c r="C231" s="6">
        <f>SUMIFS([1]العمليات!G:G, [1]العمليات!B:B, A231, [1]العمليات!C:C, "إدخال") - SUMIFS([1]العمليات!G:G, [1]العمليات!B:B, A231, [1]العمليات!C:C, "إخراج")</f>
        <v>0</v>
      </c>
      <c r="D231" s="5" t="str">
        <f>IF(A231="","",IFERROR(LOOKUP(2,1/(([1]العمليات!$B$2:$B$1000=A231)*([1]العمليات!$H$2:$H$1000&lt;&gt;"")),[1]العمليات!$H$2:$H$1000),""))</f>
        <v/>
      </c>
      <c r="E231" s="5" t="str">
        <f>IF(A231="","",IFERROR(LOOKUP(2,1/(([1]العمليات!$B$2:$B$1000=A231)*([1]العمليات!$I$2:$I$1000&lt;&gt;"")),[1]العمليات!$I$2:$I$1000),""))</f>
        <v/>
      </c>
    </row>
    <row r="232" spans="1:5" x14ac:dyDescent="0.35">
      <c r="A232" s="3" t="s">
        <v>639</v>
      </c>
      <c r="B232" s="3" t="s">
        <v>640</v>
      </c>
      <c r="C232" s="4">
        <f>SUMIFS([1]العمليات!G:G, [1]العمليات!B:B, A232, [1]العمليات!C:C, "إدخال") - SUMIFS([1]العمليات!G:G, [1]العمليات!B:B, A232, [1]العمليات!C:C, "إخراج")</f>
        <v>0</v>
      </c>
      <c r="D232" s="3" t="str">
        <f>IF(A232="","",IFERROR(LOOKUP(2,1/(([1]العمليات!$B$2:$B$1000=A232)*([1]العمليات!$H$2:$H$1000&lt;&gt;"")),[1]العمليات!$H$2:$H$1000),""))</f>
        <v/>
      </c>
      <c r="E232" s="3" t="str">
        <f>IF(A232="","",IFERROR(LOOKUP(2,1/(([1]العمليات!$B$2:$B$1000=A232)*([1]العمليات!$I$2:$I$1000&lt;&gt;"")),[1]العمليات!$I$2:$I$1000),""))</f>
        <v/>
      </c>
    </row>
    <row r="233" spans="1:5" x14ac:dyDescent="0.35">
      <c r="A233" s="5" t="s">
        <v>641</v>
      </c>
      <c r="B233" s="5" t="s">
        <v>642</v>
      </c>
      <c r="C233" s="6">
        <f>SUMIFS([1]العمليات!G:G, [1]العمليات!B:B, A233, [1]العمليات!C:C, "إدخال") - SUMIFS([1]العمليات!G:G, [1]العمليات!B:B, A233, [1]العمليات!C:C, "إخراج")</f>
        <v>0</v>
      </c>
      <c r="D233" s="5" t="str">
        <f>IF(A233="","",IFERROR(LOOKUP(2,1/(([1]العمليات!$B$2:$B$1000=A233)*([1]العمليات!$H$2:$H$1000&lt;&gt;"")),[1]العمليات!$H$2:$H$1000),""))</f>
        <v/>
      </c>
      <c r="E233" s="5" t="str">
        <f>IF(A233="","",IFERROR(LOOKUP(2,1/(([1]العمليات!$B$2:$B$1000=A233)*([1]العمليات!$I$2:$I$1000&lt;&gt;"")),[1]العمليات!$I$2:$I$1000),""))</f>
        <v/>
      </c>
    </row>
    <row r="234" spans="1:5" x14ac:dyDescent="0.35">
      <c r="A234" s="3" t="s">
        <v>205</v>
      </c>
      <c r="B234" s="3" t="s">
        <v>206</v>
      </c>
      <c r="C234" s="4">
        <f>SUMIFS([1]العمليات!G:G, [1]العمليات!B:B, A234, [1]العمليات!C:C, "إدخال") - SUMIFS([1]العمليات!G:G, [1]العمليات!B:B, A234, [1]العمليات!C:C, "إخراج")</f>
        <v>800</v>
      </c>
      <c r="D234" s="3">
        <f>IF(A234="","",IFERROR(LOOKUP(2,1/(([1]العمليات!$B$2:$B$1000=A234)*([1]العمليات!$H$2:$H$1000&lt;&gt;"")),[1]العمليات!$H$2:$H$1000),""))</f>
        <v>2</v>
      </c>
      <c r="E234" s="3">
        <f>IF(A234="","",IFERROR(LOOKUP(2,1/(([1]العمليات!$B$2:$B$1000=A234)*([1]العمليات!$I$2:$I$1000&lt;&gt;"")),[1]العمليات!$I$2:$I$1000),""))</f>
        <v>3</v>
      </c>
    </row>
    <row r="235" spans="1:5" x14ac:dyDescent="0.35">
      <c r="A235" s="5" t="s">
        <v>207</v>
      </c>
      <c r="B235" s="5" t="s">
        <v>208</v>
      </c>
      <c r="C235" s="6">
        <f>SUMIFS([1]العمليات!G:G, [1]العمليات!B:B, A235, [1]العمليات!C:C, "إدخال") - SUMIFS([1]العمليات!G:G, [1]العمليات!B:B, A235, [1]العمليات!C:C, "إخراج")</f>
        <v>198</v>
      </c>
      <c r="D235" s="5">
        <f>IF(A235="","",IFERROR(LOOKUP(2,1/(([1]العمليات!$B$2:$B$1000=A235)*([1]العمليات!$H$2:$H$1000&lt;&gt;"")),[1]العمليات!$H$2:$H$1000),""))</f>
        <v>3</v>
      </c>
      <c r="E235" s="5">
        <f>IF(A235="","",IFERROR(LOOKUP(2,1/(([1]العمليات!$B$2:$B$1000=A235)*([1]العمليات!$I$2:$I$1000&lt;&gt;"")),[1]العمليات!$I$2:$I$1000),""))</f>
        <v>6</v>
      </c>
    </row>
    <row r="236" spans="1:5" x14ac:dyDescent="0.35">
      <c r="A236" s="3" t="s">
        <v>643</v>
      </c>
      <c r="B236" s="3" t="s">
        <v>644</v>
      </c>
      <c r="C236" s="4">
        <f>SUMIFS([1]العمليات!G:G, [1]العمليات!B:B, A236, [1]العمليات!C:C, "إدخال") - SUMIFS([1]العمليات!G:G, [1]العمليات!B:B, A236, [1]العمليات!C:C, "إخراج")</f>
        <v>0</v>
      </c>
      <c r="D236" s="3" t="str">
        <f>IF(A236="","",IFERROR(LOOKUP(2,1/(([1]العمليات!$B$2:$B$1000=A236)*([1]العمليات!$H$2:$H$1000&lt;&gt;"")),[1]العمليات!$H$2:$H$1000),""))</f>
        <v/>
      </c>
      <c r="E236" s="3" t="str">
        <f>IF(A236="","",IFERROR(LOOKUP(2,1/(([1]العمليات!$B$2:$B$1000=A236)*([1]العمليات!$I$2:$I$1000&lt;&gt;"")),[1]العمليات!$I$2:$I$1000),""))</f>
        <v/>
      </c>
    </row>
    <row r="237" spans="1:5" x14ac:dyDescent="0.35">
      <c r="A237" s="5" t="s">
        <v>645</v>
      </c>
      <c r="B237" s="5" t="s">
        <v>646</v>
      </c>
      <c r="C237" s="6">
        <f>SUMIFS([1]العمليات!G:G, [1]العمليات!B:B, A237, [1]العمليات!C:C, "إدخال") - SUMIFS([1]العمليات!G:G, [1]العمليات!B:B, A237, [1]العمليات!C:C, "إخراج")</f>
        <v>0</v>
      </c>
      <c r="D237" s="5" t="str">
        <f>IF(A237="","",IFERROR(LOOKUP(2,1/(([1]العمليات!$B$2:$B$1000=A237)*([1]العمليات!$H$2:$H$1000&lt;&gt;"")),[1]العمليات!$H$2:$H$1000),""))</f>
        <v/>
      </c>
      <c r="E237" s="5" t="str">
        <f>IF(A237="","",IFERROR(LOOKUP(2,1/(([1]العمليات!$B$2:$B$1000=A237)*([1]العمليات!$I$2:$I$1000&lt;&gt;"")),[1]العمليات!$I$2:$I$1000),""))</f>
        <v/>
      </c>
    </row>
    <row r="238" spans="1:5" x14ac:dyDescent="0.35">
      <c r="A238" s="3" t="s">
        <v>209</v>
      </c>
      <c r="B238" s="3" t="s">
        <v>210</v>
      </c>
      <c r="C238" s="4">
        <f>SUMIFS([1]العمليات!G:G, [1]العمليات!B:B, A238, [1]العمليات!C:C, "إدخال") - SUMIFS([1]العمليات!G:G, [1]العمليات!B:B, A238, [1]العمليات!C:C, "إخراج")</f>
        <v>618</v>
      </c>
      <c r="D238" s="3">
        <f>IF(A238="","",IFERROR(LOOKUP(2,1/(([1]العمليات!$B$2:$B$1000=A238)*([1]العمليات!$H$2:$H$1000&lt;&gt;"")),[1]العمليات!$H$2:$H$1000),""))</f>
        <v>1</v>
      </c>
      <c r="E238" s="3">
        <f>IF(A238="","",IFERROR(LOOKUP(2,1/(([1]العمليات!$B$2:$B$1000=A238)*([1]العمليات!$I$2:$I$1000&lt;&gt;"")),[1]العمليات!$I$2:$I$1000),""))</f>
        <v>2</v>
      </c>
    </row>
    <row r="239" spans="1:5" x14ac:dyDescent="0.35">
      <c r="A239" s="5" t="s">
        <v>647</v>
      </c>
      <c r="B239" s="5" t="s">
        <v>648</v>
      </c>
      <c r="C239" s="6">
        <f>SUMIFS([1]العمليات!G:G, [1]العمليات!B:B, A239, [1]العمليات!C:C, "إدخال") - SUMIFS([1]العمليات!G:G, [1]العمليات!B:B, A239, [1]العمليات!C:C, "إخراج")</f>
        <v>0</v>
      </c>
      <c r="D239" s="5" t="str">
        <f>IF(A239="","",IFERROR(LOOKUP(2,1/(([1]العمليات!$B$2:$B$1000=A239)*([1]العمليات!$H$2:$H$1000&lt;&gt;"")),[1]العمليات!$H$2:$H$1000),""))</f>
        <v/>
      </c>
      <c r="E239" s="5" t="str">
        <f>IF(A239="","",IFERROR(LOOKUP(2,1/(([1]العمليات!$B$2:$B$1000=A239)*([1]العمليات!$I$2:$I$1000&lt;&gt;"")),[1]العمليات!$I$2:$I$1000),""))</f>
        <v/>
      </c>
    </row>
    <row r="240" spans="1:5" x14ac:dyDescent="0.35">
      <c r="A240" s="3" t="s">
        <v>649</v>
      </c>
      <c r="B240" s="3" t="s">
        <v>650</v>
      </c>
      <c r="C240" s="4">
        <f>SUMIFS([1]العمليات!G:G, [1]العمليات!B:B, A240, [1]العمليات!C:C, "إدخال") - SUMIFS([1]العمليات!G:G, [1]العمليات!B:B, A240, [1]العمليات!C:C, "إخراج")</f>
        <v>0</v>
      </c>
      <c r="D240" s="3" t="str">
        <f>IF(A240="","",IFERROR(LOOKUP(2,1/(([1]العمليات!$B$2:$B$1000=A240)*([1]العمليات!$H$2:$H$1000&lt;&gt;"")),[1]العمليات!$H$2:$H$1000),""))</f>
        <v/>
      </c>
      <c r="E240" s="3" t="str">
        <f>IF(A240="","",IFERROR(LOOKUP(2,1/(([1]العمليات!$B$2:$B$1000=A240)*([1]العمليات!$I$2:$I$1000&lt;&gt;"")),[1]العمليات!$I$2:$I$1000),""))</f>
        <v/>
      </c>
    </row>
    <row r="241" spans="1:5" x14ac:dyDescent="0.35">
      <c r="A241" s="5" t="s">
        <v>651</v>
      </c>
      <c r="B241" s="5" t="s">
        <v>652</v>
      </c>
      <c r="C241" s="6">
        <f>SUMIFS([1]العمليات!G:G, [1]العمليات!B:B, A241, [1]العمليات!C:C, "إدخال") - SUMIFS([1]العمليات!G:G, [1]العمليات!B:B, A241, [1]العمليات!C:C, "إخراج")</f>
        <v>0</v>
      </c>
      <c r="D241" s="5" t="str">
        <f>IF(A241="","",IFERROR(LOOKUP(2,1/(([1]العمليات!$B$2:$B$1000=A241)*([1]العمليات!$H$2:$H$1000&lt;&gt;"")),[1]العمليات!$H$2:$H$1000),""))</f>
        <v/>
      </c>
      <c r="E241" s="5" t="str">
        <f>IF(A241="","",IFERROR(LOOKUP(2,1/(([1]العمليات!$B$2:$B$1000=A241)*([1]العمليات!$I$2:$I$1000&lt;&gt;"")),[1]العمليات!$I$2:$I$1000),""))</f>
        <v/>
      </c>
    </row>
    <row r="242" spans="1:5" x14ac:dyDescent="0.35">
      <c r="A242" s="3" t="s">
        <v>653</v>
      </c>
      <c r="B242" s="3" t="s">
        <v>654</v>
      </c>
      <c r="C242" s="4">
        <f>SUMIFS([1]العمليات!G:G, [1]العمليات!B:B, A242, [1]العمليات!C:C, "إدخال") - SUMIFS([1]العمليات!G:G, [1]العمليات!B:B, A242, [1]العمليات!C:C, "إخراج")</f>
        <v>0</v>
      </c>
      <c r="D242" s="3" t="str">
        <f>IF(A242="","",IFERROR(LOOKUP(2,1/(([1]العمليات!$B$2:$B$1000=A242)*([1]العمليات!$H$2:$H$1000&lt;&gt;"")),[1]العمليات!$H$2:$H$1000),""))</f>
        <v/>
      </c>
      <c r="E242" s="3" t="str">
        <f>IF(A242="","",IFERROR(LOOKUP(2,1/(([1]العمليات!$B$2:$B$1000=A242)*([1]العمليات!$I$2:$I$1000&lt;&gt;"")),[1]العمليات!$I$2:$I$1000),""))</f>
        <v/>
      </c>
    </row>
    <row r="243" spans="1:5" x14ac:dyDescent="0.35">
      <c r="A243" s="5" t="s">
        <v>655</v>
      </c>
      <c r="B243" s="5" t="s">
        <v>656</v>
      </c>
      <c r="C243" s="6">
        <f>SUMIFS([1]العمليات!G:G, [1]العمليات!B:B, A243, [1]العمليات!C:C, "إدخال") - SUMIFS([1]العمليات!G:G, [1]العمليات!B:B, A243, [1]العمليات!C:C, "إخراج")</f>
        <v>0</v>
      </c>
      <c r="D243" s="5" t="str">
        <f>IF(A243="","",IFERROR(LOOKUP(2,1/(([1]العمليات!$B$2:$B$1000=A243)*([1]العمليات!$H$2:$H$1000&lt;&gt;"")),[1]العمليات!$H$2:$H$1000),""))</f>
        <v/>
      </c>
      <c r="E243" s="5" t="str">
        <f>IF(A243="","",IFERROR(LOOKUP(2,1/(([1]العمليات!$B$2:$B$1000=A243)*([1]العمليات!$I$2:$I$1000&lt;&gt;"")),[1]العمليات!$I$2:$I$1000),""))</f>
        <v/>
      </c>
    </row>
    <row r="244" spans="1:5" x14ac:dyDescent="0.35">
      <c r="A244" s="3" t="s">
        <v>211</v>
      </c>
      <c r="B244" s="3" t="s">
        <v>212</v>
      </c>
      <c r="C244" s="4">
        <f>SUMIFS([1]العمليات!G:G, [1]العمليات!B:B, A244, [1]العمليات!C:C, "إدخال") - SUMIFS([1]العمليات!G:G, [1]العمليات!B:B, A244, [1]العمليات!C:C, "إخراج")</f>
        <v>1500</v>
      </c>
      <c r="D244" s="3">
        <f>IF(A244="","",IFERROR(LOOKUP(2,1/(([1]العمليات!$B$2:$B$1000=A244)*([1]العمليات!$H$2:$H$1000&lt;&gt;"")),[1]العمليات!$H$2:$H$1000),""))</f>
        <v>5</v>
      </c>
      <c r="E244" s="3">
        <f>IF(A244="","",IFERROR(LOOKUP(2,1/(([1]العمليات!$B$2:$B$1000=A244)*([1]العمليات!$I$2:$I$1000&lt;&gt;"")),[1]العمليات!$I$2:$I$1000),""))</f>
        <v>4</v>
      </c>
    </row>
    <row r="245" spans="1:5" x14ac:dyDescent="0.35">
      <c r="A245" s="5" t="s">
        <v>213</v>
      </c>
      <c r="B245" s="5" t="s">
        <v>214</v>
      </c>
      <c r="C245" s="6">
        <f>SUMIFS([1]العمليات!G:G, [1]العمليات!B:B, A245, [1]العمليات!C:C, "إدخال") - SUMIFS([1]العمليات!G:G, [1]العمليات!B:B, A245, [1]العمليات!C:C, "إخراج")</f>
        <v>210</v>
      </c>
      <c r="D245" s="5">
        <f>IF(A245="","",IFERROR(LOOKUP(2,1/(([1]العمليات!$B$2:$B$1000=A245)*([1]العمليات!$H$2:$H$1000&lt;&gt;"")),[1]العمليات!$H$2:$H$1000),""))</f>
        <v>6</v>
      </c>
      <c r="E245" s="5">
        <f>IF(A245="","",IFERROR(LOOKUP(2,1/(([1]العمليات!$B$2:$B$1000=A245)*([1]العمليات!$I$2:$I$1000&lt;&gt;"")),[1]العمليات!$I$2:$I$1000),""))</f>
        <v>6</v>
      </c>
    </row>
    <row r="246" spans="1:5" x14ac:dyDescent="0.35">
      <c r="A246" s="3" t="s">
        <v>657</v>
      </c>
      <c r="B246" s="3" t="s">
        <v>658</v>
      </c>
      <c r="C246" s="4">
        <f>SUMIFS([1]العمليات!G:G, [1]العمليات!B:B, A246, [1]العمليات!C:C, "إدخال") - SUMIFS([1]العمليات!G:G, [1]العمليات!B:B, A246, [1]العمليات!C:C, "إخراج")</f>
        <v>0</v>
      </c>
      <c r="D246" s="3" t="str">
        <f>IF(A246="","",IFERROR(LOOKUP(2,1/(([1]العمليات!$B$2:$B$1000=A246)*([1]العمليات!$H$2:$H$1000&lt;&gt;"")),[1]العمليات!$H$2:$H$1000),""))</f>
        <v/>
      </c>
      <c r="E246" s="3" t="str">
        <f>IF(A246="","",IFERROR(LOOKUP(2,1/(([1]العمليات!$B$2:$B$1000=A246)*([1]العمليات!$I$2:$I$1000&lt;&gt;"")),[1]العمليات!$I$2:$I$1000),""))</f>
        <v/>
      </c>
    </row>
    <row r="247" spans="1:5" x14ac:dyDescent="0.35">
      <c r="A247" s="5" t="s">
        <v>215</v>
      </c>
      <c r="B247" s="5" t="s">
        <v>216</v>
      </c>
      <c r="C247" s="6">
        <f>SUMIFS([1]العمليات!G:G, [1]العمليات!B:B, A247, [1]العمليات!C:C, "إدخال") - SUMIFS([1]العمليات!G:G, [1]العمليات!B:B, A247, [1]العمليات!C:C, "إخراج")</f>
        <v>598</v>
      </c>
      <c r="D247" s="5">
        <f>IF(A247="","",IFERROR(LOOKUP(2,1/(([1]العمليات!$B$2:$B$1000=A247)*([1]العمليات!$H$2:$H$1000&lt;&gt;"")),[1]العمليات!$H$2:$H$1000),""))</f>
        <v>6</v>
      </c>
      <c r="E247" s="5">
        <f>IF(A247="","",IFERROR(LOOKUP(2,1/(([1]العمليات!$B$2:$B$1000=A247)*([1]العمليات!$I$2:$I$1000&lt;&gt;"")),[1]العمليات!$I$2:$I$1000),""))</f>
        <v>4</v>
      </c>
    </row>
    <row r="248" spans="1:5" x14ac:dyDescent="0.35">
      <c r="A248" s="3" t="s">
        <v>217</v>
      </c>
      <c r="B248" s="3" t="s">
        <v>218</v>
      </c>
      <c r="C248" s="4">
        <f>SUMIFS([1]العمليات!G:G, [1]العمليات!B:B, A248, [1]العمليات!C:C, "إدخال") - SUMIFS([1]العمليات!G:G, [1]العمليات!B:B, A248, [1]العمليات!C:C, "إخراج")</f>
        <v>462</v>
      </c>
      <c r="D248" s="3">
        <f>IF(A248="","",IFERROR(LOOKUP(2,1/(([1]العمليات!$B$2:$B$1000=A248)*([1]العمليات!$H$2:$H$1000&lt;&gt;"")),[1]العمليات!$H$2:$H$1000),""))</f>
        <v>4</v>
      </c>
      <c r="E248" s="3">
        <f>IF(A248="","",IFERROR(LOOKUP(2,1/(([1]العمليات!$B$2:$B$1000=A248)*([1]العمليات!$I$2:$I$1000&lt;&gt;"")),[1]العمليات!$I$2:$I$1000),""))</f>
        <v>5</v>
      </c>
    </row>
    <row r="249" spans="1:5" x14ac:dyDescent="0.35">
      <c r="A249" s="5" t="s">
        <v>659</v>
      </c>
      <c r="B249" s="5" t="s">
        <v>660</v>
      </c>
      <c r="C249" s="6">
        <f>SUMIFS([1]العمليات!G:G, [1]العمليات!B:B, A249, [1]العمليات!C:C, "إدخال") - SUMIFS([1]العمليات!G:G, [1]العمليات!B:B, A249, [1]العمليات!C:C, "إخراج")</f>
        <v>0</v>
      </c>
      <c r="D249" s="5" t="str">
        <f>IF(A249="","",IFERROR(LOOKUP(2,1/(([1]العمليات!$B$2:$B$1000=A249)*([1]العمليات!$H$2:$H$1000&lt;&gt;"")),[1]العمليات!$H$2:$H$1000),""))</f>
        <v/>
      </c>
      <c r="E249" s="5" t="str">
        <f>IF(A249="","",IFERROR(LOOKUP(2,1/(([1]العمليات!$B$2:$B$1000=A249)*([1]العمليات!$I$2:$I$1000&lt;&gt;"")),[1]العمليات!$I$2:$I$1000),""))</f>
        <v/>
      </c>
    </row>
    <row r="250" spans="1:5" x14ac:dyDescent="0.35">
      <c r="A250" s="3" t="s">
        <v>661</v>
      </c>
      <c r="B250" s="3" t="s">
        <v>662</v>
      </c>
      <c r="C250" s="4">
        <f>SUMIFS([1]العمليات!G:G, [1]العمليات!B:B, A250, [1]العمليات!C:C, "إدخال") - SUMIFS([1]العمليات!G:G, [1]العمليات!B:B, A250, [1]العمليات!C:C, "إخراج")</f>
        <v>0</v>
      </c>
      <c r="D250" s="3" t="str">
        <f>IF(A250="","",IFERROR(LOOKUP(2,1/(([1]العمليات!$B$2:$B$1000=A250)*([1]العمليات!$H$2:$H$1000&lt;&gt;"")),[1]العمليات!$H$2:$H$1000),""))</f>
        <v/>
      </c>
      <c r="E250" s="3" t="str">
        <f>IF(A250="","",IFERROR(LOOKUP(2,1/(([1]العمليات!$B$2:$B$1000=A250)*([1]العمليات!$I$2:$I$1000&lt;&gt;"")),[1]العمليات!$I$2:$I$1000),""))</f>
        <v/>
      </c>
    </row>
    <row r="251" spans="1:5" x14ac:dyDescent="0.35">
      <c r="A251" s="5" t="s">
        <v>663</v>
      </c>
      <c r="B251" s="5" t="s">
        <v>664</v>
      </c>
      <c r="C251" s="6">
        <f>SUMIFS([1]العمليات!G:G, [1]العمليات!B:B, A251, [1]العمليات!C:C, "إدخال") - SUMIFS([1]العمليات!G:G, [1]العمليات!B:B, A251, [1]العمليات!C:C, "إخراج")</f>
        <v>0</v>
      </c>
      <c r="D251" s="5" t="str">
        <f>IF(A251="","",IFERROR(LOOKUP(2,1/(([1]العمليات!$B$2:$B$1000=A251)*([1]العمليات!$H$2:$H$1000&lt;&gt;"")),[1]العمليات!$H$2:$H$1000),""))</f>
        <v/>
      </c>
      <c r="E251" s="5" t="str">
        <f>IF(A251="","",IFERROR(LOOKUP(2,1/(([1]العمليات!$B$2:$B$1000=A251)*([1]العمليات!$I$2:$I$1000&lt;&gt;"")),[1]العمليات!$I$2:$I$1000),""))</f>
        <v/>
      </c>
    </row>
    <row r="252" spans="1:5" x14ac:dyDescent="0.35">
      <c r="A252" s="3" t="s">
        <v>665</v>
      </c>
      <c r="B252" s="3" t="s">
        <v>666</v>
      </c>
      <c r="C252" s="4">
        <f>SUMIFS([1]العمليات!G:G, [1]العمليات!B:B, A252, [1]العمليات!C:C, "إدخال") - SUMIFS([1]العمليات!G:G, [1]العمليات!B:B, A252, [1]العمليات!C:C, "إخراج")</f>
        <v>0</v>
      </c>
      <c r="D252" s="3" t="str">
        <f>IF(A252="","",IFERROR(LOOKUP(2,1/(([1]العمليات!$B$2:$B$1000=A252)*([1]العمليات!$H$2:$H$1000&lt;&gt;"")),[1]العمليات!$H$2:$H$1000),""))</f>
        <v/>
      </c>
      <c r="E252" s="3" t="str">
        <f>IF(A252="","",IFERROR(LOOKUP(2,1/(([1]العمليات!$B$2:$B$1000=A252)*([1]العمليات!$I$2:$I$1000&lt;&gt;"")),[1]العمليات!$I$2:$I$1000),""))</f>
        <v/>
      </c>
    </row>
    <row r="253" spans="1:5" x14ac:dyDescent="0.35">
      <c r="A253" s="5" t="s">
        <v>219</v>
      </c>
      <c r="B253" s="5" t="s">
        <v>220</v>
      </c>
      <c r="C253" s="6">
        <f>SUMIFS([1]العمليات!G:G, [1]العمليات!B:B, A253, [1]العمليات!C:C, "إدخال") - SUMIFS([1]العمليات!G:G, [1]العمليات!B:B, A253, [1]العمليات!C:C, "إخراج")</f>
        <v>956</v>
      </c>
      <c r="D253" s="5">
        <f>IF(A253="","",IFERROR(LOOKUP(2,1/(([1]العمليات!$B$2:$B$1000=A253)*([1]العمليات!$H$2:$H$1000&lt;&gt;"")),[1]العمليات!$H$2:$H$1000),""))</f>
        <v>4</v>
      </c>
      <c r="E253" s="5">
        <f>IF(A253="","",IFERROR(LOOKUP(2,1/(([1]العمليات!$B$2:$B$1000=A253)*([1]العمليات!$I$2:$I$1000&lt;&gt;"")),[1]العمليات!$I$2:$I$1000),""))</f>
        <v>4</v>
      </c>
    </row>
    <row r="254" spans="1:5" x14ac:dyDescent="0.35">
      <c r="A254" s="3" t="s">
        <v>221</v>
      </c>
      <c r="B254" s="3" t="s">
        <v>222</v>
      </c>
      <c r="C254" s="4">
        <f>SUMIFS([1]العمليات!G:G, [1]العمليات!B:B, A254, [1]العمليات!C:C, "إدخال") - SUMIFS([1]العمليات!G:G, [1]العمليات!B:B, A254, [1]العمليات!C:C, "إخراج")</f>
        <v>601</v>
      </c>
      <c r="D254" s="3">
        <f>IF(A254="","",IFERROR(LOOKUP(2,1/(([1]العمليات!$B$2:$B$1000=A254)*([1]العمليات!$H$2:$H$1000&lt;&gt;"")),[1]العمليات!$H$2:$H$1000),""))</f>
        <v>2</v>
      </c>
      <c r="E254" s="3">
        <f>IF(A254="","",IFERROR(LOOKUP(2,1/(([1]العمليات!$B$2:$B$1000=A254)*([1]العمليات!$I$2:$I$1000&lt;&gt;"")),[1]العمليات!$I$2:$I$1000),""))</f>
        <v>5</v>
      </c>
    </row>
    <row r="255" spans="1:5" x14ac:dyDescent="0.35">
      <c r="A255" s="5" t="s">
        <v>667</v>
      </c>
      <c r="B255" s="5" t="s">
        <v>668</v>
      </c>
      <c r="C255" s="6">
        <f>SUMIFS([1]العمليات!G:G, [1]العمليات!B:B, A255, [1]العمليات!C:C, "إدخال") - SUMIFS([1]العمليات!G:G, [1]العمليات!B:B, A255, [1]العمليات!C:C, "إخراج")</f>
        <v>0</v>
      </c>
      <c r="D255" s="5" t="str">
        <f>IF(A255="","",IFERROR(LOOKUP(2,1/(([1]العمليات!$B$2:$B$1000=A255)*([1]العمليات!$H$2:$H$1000&lt;&gt;"")),[1]العمليات!$H$2:$H$1000),""))</f>
        <v/>
      </c>
      <c r="E255" s="5" t="str">
        <f>IF(A255="","",IFERROR(LOOKUP(2,1/(([1]العمليات!$B$2:$B$1000=A255)*([1]العمليات!$I$2:$I$1000&lt;&gt;"")),[1]العمليات!$I$2:$I$1000),""))</f>
        <v/>
      </c>
    </row>
    <row r="256" spans="1:5" x14ac:dyDescent="0.35">
      <c r="A256" s="3" t="s">
        <v>669</v>
      </c>
      <c r="B256" s="3" t="s">
        <v>670</v>
      </c>
      <c r="C256" s="4">
        <f>SUMIFS([1]العمليات!G:G, [1]العمليات!B:B, A256, [1]العمليات!C:C, "إدخال") - SUMIFS([1]العمليات!G:G, [1]العمليات!B:B, A256, [1]العمليات!C:C, "إخراج")</f>
        <v>0</v>
      </c>
      <c r="D256" s="3" t="str">
        <f>IF(A256="","",IFERROR(LOOKUP(2,1/(([1]العمليات!$B$2:$B$1000=A256)*([1]العمليات!$H$2:$H$1000&lt;&gt;"")),[1]العمليات!$H$2:$H$1000),""))</f>
        <v/>
      </c>
      <c r="E256" s="3" t="str">
        <f>IF(A256="","",IFERROR(LOOKUP(2,1/(([1]العمليات!$B$2:$B$1000=A256)*([1]العمليات!$I$2:$I$1000&lt;&gt;"")),[1]العمليات!$I$2:$I$1000),""))</f>
        <v/>
      </c>
    </row>
    <row r="257" spans="1:5" x14ac:dyDescent="0.35">
      <c r="A257" s="5" t="s">
        <v>223</v>
      </c>
      <c r="B257" s="5" t="s">
        <v>224</v>
      </c>
      <c r="C257" s="6">
        <f>SUMIFS([1]العمليات!G:G, [1]العمليات!B:B, A257, [1]العمليات!C:C, "إدخال") - SUMIFS([1]العمليات!G:G, [1]العمليات!B:B, A257, [1]العمليات!C:C, "إخراج")</f>
        <v>248</v>
      </c>
      <c r="D257" s="5">
        <f>IF(A257="","",IFERROR(LOOKUP(2,1/(([1]العمليات!$B$2:$B$1000=A257)*([1]العمليات!$H$2:$H$1000&lt;&gt;"")),[1]العمليات!$H$2:$H$1000),""))</f>
        <v>4</v>
      </c>
      <c r="E257" s="5">
        <f>IF(A257="","",IFERROR(LOOKUP(2,1/(([1]العمليات!$B$2:$B$1000=A257)*([1]العمليات!$I$2:$I$1000&lt;&gt;"")),[1]العمليات!$I$2:$I$1000),""))</f>
        <v>2</v>
      </c>
    </row>
    <row r="258" spans="1:5" x14ac:dyDescent="0.35">
      <c r="A258" s="3" t="s">
        <v>225</v>
      </c>
      <c r="B258" s="3" t="s">
        <v>226</v>
      </c>
      <c r="C258" s="4">
        <f>SUMIFS([1]العمليات!G:G, [1]العمليات!B:B, A258, [1]العمليات!C:C, "إدخال") - SUMIFS([1]العمليات!G:G, [1]العمليات!B:B, A258, [1]العمليات!C:C, "إخراج")</f>
        <v>675</v>
      </c>
      <c r="D258" s="3">
        <f>IF(A258="","",IFERROR(LOOKUP(2,1/(([1]العمليات!$B$2:$B$1000=A258)*([1]العمليات!$H$2:$H$1000&lt;&gt;"")),[1]العمليات!$H$2:$H$1000),""))</f>
        <v>4</v>
      </c>
      <c r="E258" s="3">
        <f>IF(A258="","",IFERROR(LOOKUP(2,1/(([1]العمليات!$B$2:$B$1000=A258)*([1]العمليات!$I$2:$I$1000&lt;&gt;"")),[1]العمليات!$I$2:$I$1000),""))</f>
        <v>6</v>
      </c>
    </row>
    <row r="259" spans="1:5" x14ac:dyDescent="0.35">
      <c r="A259" s="5" t="s">
        <v>671</v>
      </c>
      <c r="B259" s="5" t="s">
        <v>672</v>
      </c>
      <c r="C259" s="6">
        <f>SUMIFS([1]العمليات!G:G, [1]العمليات!B:B, A259, [1]العمليات!C:C, "إدخال") - SUMIFS([1]العمليات!G:G, [1]العمليات!B:B, A259, [1]العمليات!C:C, "إخراج")</f>
        <v>0</v>
      </c>
      <c r="D259" s="5" t="str">
        <f>IF(A259="","",IFERROR(LOOKUP(2,1/(([1]العمليات!$B$2:$B$1000=A259)*([1]العمليات!$H$2:$H$1000&lt;&gt;"")),[1]العمليات!$H$2:$H$1000),""))</f>
        <v/>
      </c>
      <c r="E259" s="5" t="str">
        <f>IF(A259="","",IFERROR(LOOKUP(2,1/(([1]العمليات!$B$2:$B$1000=A259)*([1]العمليات!$I$2:$I$1000&lt;&gt;"")),[1]العمليات!$I$2:$I$1000),""))</f>
        <v/>
      </c>
    </row>
    <row r="260" spans="1:5" x14ac:dyDescent="0.35">
      <c r="A260" s="3" t="s">
        <v>227</v>
      </c>
      <c r="B260" s="3" t="s">
        <v>228</v>
      </c>
      <c r="C260" s="4">
        <f>SUMIFS([1]العمليات!G:G, [1]العمليات!B:B, A260, [1]العمليات!C:C, "إدخال") - SUMIFS([1]العمليات!G:G, [1]العمليات!B:B, A260, [1]العمليات!C:C, "إخراج")</f>
        <v>605</v>
      </c>
      <c r="D260" s="3">
        <f>IF(A260="","",IFERROR(LOOKUP(2,1/(([1]العمليات!$B$2:$B$1000=A260)*([1]العمليات!$H$2:$H$1000&lt;&gt;"")),[1]العمليات!$H$2:$H$1000),""))</f>
        <v>2</v>
      </c>
      <c r="E260" s="3">
        <f>IF(A260="","",IFERROR(LOOKUP(2,1/(([1]العمليات!$B$2:$B$1000=A260)*([1]العمليات!$I$2:$I$1000&lt;&gt;"")),[1]العمليات!$I$2:$I$1000),""))</f>
        <v>2</v>
      </c>
    </row>
    <row r="261" spans="1:5" x14ac:dyDescent="0.35">
      <c r="A261" s="5" t="s">
        <v>229</v>
      </c>
      <c r="B261" s="5" t="s">
        <v>230</v>
      </c>
      <c r="C261" s="6">
        <f>SUMIFS([1]العمليات!G:G, [1]العمليات!B:B, A261, [1]العمليات!C:C, "إدخال") - SUMIFS([1]العمليات!G:G, [1]العمليات!B:B, A261, [1]العمليات!C:C, "إخراج")</f>
        <v>826</v>
      </c>
      <c r="D261" s="5">
        <f>IF(A261="","",IFERROR(LOOKUP(2,1/(([1]العمليات!$B$2:$B$1000=A261)*([1]العمليات!$H$2:$H$1000&lt;&gt;"")),[1]العمليات!$H$2:$H$1000),""))</f>
        <v>3</v>
      </c>
      <c r="E261" s="5">
        <f>IF(A261="","",IFERROR(LOOKUP(2,1/(([1]العمليات!$B$2:$B$1000=A261)*([1]العمليات!$I$2:$I$1000&lt;&gt;"")),[1]العمليات!$I$2:$I$1000),""))</f>
        <v>4</v>
      </c>
    </row>
    <row r="262" spans="1:5" x14ac:dyDescent="0.35">
      <c r="A262" s="3" t="s">
        <v>231</v>
      </c>
      <c r="B262" s="3" t="s">
        <v>232</v>
      </c>
      <c r="C262" s="4">
        <f>SUMIFS([1]العمليات!G:G, [1]العمليات!B:B, A262, [1]العمليات!C:C, "إدخال") - SUMIFS([1]العمليات!G:G, [1]العمليات!B:B, A262, [1]العمليات!C:C, "إخراج")</f>
        <v>279</v>
      </c>
      <c r="D262" s="3">
        <f>IF(A262="","",IFERROR(LOOKUP(2,1/(([1]العمليات!$B$2:$B$1000=A262)*([1]العمليات!$H$2:$H$1000&lt;&gt;"")),[1]العمليات!$H$2:$H$1000),""))</f>
        <v>6</v>
      </c>
      <c r="E262" s="3">
        <f>IF(A262="","",IFERROR(LOOKUP(2,1/(([1]العمليات!$B$2:$B$1000=A262)*([1]العمليات!$I$2:$I$1000&lt;&gt;"")),[1]العمليات!$I$2:$I$1000),""))</f>
        <v>1</v>
      </c>
    </row>
    <row r="263" spans="1:5" x14ac:dyDescent="0.35">
      <c r="A263" s="5" t="s">
        <v>233</v>
      </c>
      <c r="B263" s="5" t="s">
        <v>234</v>
      </c>
      <c r="C263" s="6">
        <f>SUMIFS([1]العمليات!G:G, [1]العمليات!B:B, A263, [1]العمليات!C:C, "إدخال") - SUMIFS([1]العمليات!G:G, [1]العمليات!B:B, A263, [1]العمليات!C:C, "إخراج")</f>
        <v>608</v>
      </c>
      <c r="D263" s="5">
        <f>IF(A263="","",IFERROR(LOOKUP(2,1/(([1]العمليات!$B$2:$B$1000=A263)*([1]العمليات!$H$2:$H$1000&lt;&gt;"")),[1]العمليات!$H$2:$H$1000),""))</f>
        <v>3</v>
      </c>
      <c r="E263" s="5">
        <f>IF(A263="","",IFERROR(LOOKUP(2,1/(([1]العمليات!$B$2:$B$1000=A263)*([1]العمليات!$I$2:$I$1000&lt;&gt;"")),[1]العمليات!$I$2:$I$1000),""))</f>
        <v>2</v>
      </c>
    </row>
    <row r="264" spans="1:5" x14ac:dyDescent="0.35">
      <c r="A264" s="3" t="s">
        <v>673</v>
      </c>
      <c r="B264" s="3" t="s">
        <v>674</v>
      </c>
      <c r="C264" s="4">
        <f>SUMIFS([1]العمليات!G:G, [1]العمليات!B:B, A264, [1]العمليات!C:C, "إدخال") - SUMIFS([1]العمليات!G:G, [1]العمليات!B:B, A264, [1]العمليات!C:C, "إخراج")</f>
        <v>0</v>
      </c>
      <c r="D264" s="3" t="str">
        <f>IF(A264="","",IFERROR(LOOKUP(2,1/(([1]العمليات!$B$2:$B$1000=A264)*([1]العمليات!$H$2:$H$1000&lt;&gt;"")),[1]العمليات!$H$2:$H$1000),""))</f>
        <v/>
      </c>
      <c r="E264" s="3" t="str">
        <f>IF(A264="","",IFERROR(LOOKUP(2,1/(([1]العمليات!$B$2:$B$1000=A264)*([1]العمليات!$I$2:$I$1000&lt;&gt;"")),[1]العمليات!$I$2:$I$1000),""))</f>
        <v/>
      </c>
    </row>
    <row r="265" spans="1:5" x14ac:dyDescent="0.35">
      <c r="A265" s="5" t="s">
        <v>235</v>
      </c>
      <c r="B265" s="5" t="s">
        <v>236</v>
      </c>
      <c r="C265" s="6">
        <f>SUMIFS([1]العمليات!G:G, [1]العمليات!B:B, A265, [1]العمليات!C:C, "إدخال") - SUMIFS([1]العمليات!G:G, [1]العمليات!B:B, A265, [1]العمليات!C:C, "إخراج")</f>
        <v>150</v>
      </c>
      <c r="D265" s="5">
        <f>IF(A265="","",IFERROR(LOOKUP(2,1/(([1]العمليات!$B$2:$B$1000=A265)*([1]العمليات!$H$2:$H$1000&lt;&gt;"")),[1]العمليات!$H$2:$H$1000),""))</f>
        <v>6</v>
      </c>
      <c r="E265" s="5">
        <f>IF(A265="","",IFERROR(LOOKUP(2,1/(([1]العمليات!$B$2:$B$1000=A265)*([1]العمليات!$I$2:$I$1000&lt;&gt;"")),[1]العمليات!$I$2:$I$1000),""))</f>
        <v>3</v>
      </c>
    </row>
    <row r="266" spans="1:5" x14ac:dyDescent="0.35">
      <c r="A266" s="3" t="s">
        <v>237</v>
      </c>
      <c r="B266" s="3" t="s">
        <v>238</v>
      </c>
      <c r="C266" s="4">
        <f>SUMIFS([1]العمليات!G:G, [1]العمليات!B:B, A266, [1]العمليات!C:C, "إدخال") - SUMIFS([1]العمليات!G:G, [1]العمليات!B:B, A266, [1]العمليات!C:C, "إخراج")</f>
        <v>470</v>
      </c>
      <c r="D266" s="3">
        <f>IF(A266="","",IFERROR(LOOKUP(2,1/(([1]العمليات!$B$2:$B$1000=A266)*([1]العمليات!$H$2:$H$1000&lt;&gt;"")),[1]العمليات!$H$2:$H$1000),""))</f>
        <v>3</v>
      </c>
      <c r="E266" s="3" t="str">
        <f>IF(A266="","",IFERROR(LOOKUP(2,1/(([1]العمليات!$B$2:$B$1000=A266)*([1]العمليات!$I$2:$I$1000&lt;&gt;"")),[1]العمليات!$I$2:$I$1000),""))</f>
        <v>3ط2</v>
      </c>
    </row>
    <row r="267" spans="1:5" x14ac:dyDescent="0.35">
      <c r="A267" s="5" t="s">
        <v>675</v>
      </c>
      <c r="B267" s="5" t="s">
        <v>676</v>
      </c>
      <c r="C267" s="6">
        <f>SUMIFS([1]العمليات!G:G, [1]العمليات!B:B, A267, [1]العمليات!C:C, "إدخال") - SUMIFS([1]العمليات!G:G, [1]العمليات!B:B, A267, [1]العمليات!C:C, "إخراج")</f>
        <v>0</v>
      </c>
      <c r="D267" s="5" t="str">
        <f>IF(A267="","",IFERROR(LOOKUP(2,1/(([1]العمليات!$B$2:$B$1000=A267)*([1]العمليات!$H$2:$H$1000&lt;&gt;"")),[1]العمليات!$H$2:$H$1000),""))</f>
        <v/>
      </c>
      <c r="E267" s="5" t="str">
        <f>IF(A267="","",IFERROR(LOOKUP(2,1/(([1]العمليات!$B$2:$B$1000=A267)*([1]العمليات!$I$2:$I$1000&lt;&gt;"")),[1]العمليات!$I$2:$I$1000),""))</f>
        <v/>
      </c>
    </row>
    <row r="268" spans="1:5" x14ac:dyDescent="0.35">
      <c r="A268" s="3" t="s">
        <v>677</v>
      </c>
      <c r="B268" s="3" t="s">
        <v>678</v>
      </c>
      <c r="C268" s="4">
        <f>SUMIFS([1]العمليات!G:G, [1]العمليات!B:B, A268, [1]العمليات!C:C, "إدخال") - SUMIFS([1]العمليات!G:G, [1]العمليات!B:B, A268, [1]العمليات!C:C, "إخراج")</f>
        <v>0</v>
      </c>
      <c r="D268" s="3" t="str">
        <f>IF(A268="","",IFERROR(LOOKUP(2,1/(([1]العمليات!$B$2:$B$1000=A268)*([1]العمليات!$H$2:$H$1000&lt;&gt;"")),[1]العمليات!$H$2:$H$1000),""))</f>
        <v/>
      </c>
      <c r="E268" s="3" t="str">
        <f>IF(A268="","",IFERROR(LOOKUP(2,1/(([1]العمليات!$B$2:$B$1000=A268)*([1]العمليات!$I$2:$I$1000&lt;&gt;"")),[1]العمليات!$I$2:$I$1000),""))</f>
        <v/>
      </c>
    </row>
    <row r="269" spans="1:5" x14ac:dyDescent="0.35">
      <c r="A269" s="5" t="s">
        <v>679</v>
      </c>
      <c r="B269" s="5" t="s">
        <v>680</v>
      </c>
      <c r="C269" s="6">
        <f>SUMIFS([1]العمليات!G:G, [1]العمليات!B:B, A269, [1]العمليات!C:C, "إدخال") - SUMIFS([1]العمليات!G:G, [1]العمليات!B:B, A269, [1]العمليات!C:C, "إخراج")</f>
        <v>0</v>
      </c>
      <c r="D269" s="5" t="str">
        <f>IF(A269="","",IFERROR(LOOKUP(2,1/(([1]العمليات!$B$2:$B$1000=A269)*([1]العمليات!$H$2:$H$1000&lt;&gt;"")),[1]العمليات!$H$2:$H$1000),""))</f>
        <v/>
      </c>
      <c r="E269" s="5" t="str">
        <f>IF(A269="","",IFERROR(LOOKUP(2,1/(([1]العمليات!$B$2:$B$1000=A269)*([1]العمليات!$I$2:$I$1000&lt;&gt;"")),[1]العمليات!$I$2:$I$1000),""))</f>
        <v/>
      </c>
    </row>
    <row r="270" spans="1:5" x14ac:dyDescent="0.35">
      <c r="A270" s="3" t="s">
        <v>681</v>
      </c>
      <c r="B270" s="3" t="s">
        <v>682</v>
      </c>
      <c r="C270" s="4">
        <f>SUMIFS([1]العمليات!G:G, [1]العمليات!B:B, A270, [1]العمليات!C:C, "إدخال") - SUMIFS([1]العمليات!G:G, [1]العمليات!B:B, A270, [1]العمليات!C:C, "إخراج")</f>
        <v>0</v>
      </c>
      <c r="D270" s="3" t="str">
        <f>IF(A270="","",IFERROR(LOOKUP(2,1/(([1]العمليات!$B$2:$B$1000=A270)*([1]العمليات!$H$2:$H$1000&lt;&gt;"")),[1]العمليات!$H$2:$H$1000),""))</f>
        <v/>
      </c>
      <c r="E270" s="3" t="str">
        <f>IF(A270="","",IFERROR(LOOKUP(2,1/(([1]العمليات!$B$2:$B$1000=A270)*([1]العمليات!$I$2:$I$1000&lt;&gt;"")),[1]العمليات!$I$2:$I$1000),""))</f>
        <v/>
      </c>
    </row>
    <row r="271" spans="1:5" x14ac:dyDescent="0.35">
      <c r="A271" s="5" t="s">
        <v>239</v>
      </c>
      <c r="B271" s="5" t="s">
        <v>240</v>
      </c>
      <c r="C271" s="6">
        <f>SUMIFS([1]العمليات!G:G, [1]العمليات!B:B, A271, [1]العمليات!C:C, "إدخال") - SUMIFS([1]العمليات!G:G, [1]العمليات!B:B, A271, [1]العمليات!C:C, "إخراج")</f>
        <v>708</v>
      </c>
      <c r="D271" s="5">
        <f>IF(A271="","",IFERROR(LOOKUP(2,1/(([1]العمليات!$B$2:$B$1000=A271)*([1]العمليات!$H$2:$H$1000&lt;&gt;"")),[1]العمليات!$H$2:$H$1000),""))</f>
        <v>2</v>
      </c>
      <c r="E271" s="5">
        <f>IF(A271="","",IFERROR(LOOKUP(2,1/(([1]العمليات!$B$2:$B$1000=A271)*([1]العمليات!$I$2:$I$1000&lt;&gt;"")),[1]العمليات!$I$2:$I$1000),""))</f>
        <v>2</v>
      </c>
    </row>
    <row r="272" spans="1:5" x14ac:dyDescent="0.35">
      <c r="A272" s="3" t="s">
        <v>241</v>
      </c>
      <c r="B272" s="3" t="s">
        <v>242</v>
      </c>
      <c r="C272" s="4">
        <f>SUMIFS([1]العمليات!G:G, [1]العمليات!B:B, A272, [1]العمليات!C:C, "إدخال") - SUMIFS([1]العمليات!G:G, [1]العمليات!B:B, A272, [1]العمليات!C:C, "إخراج")</f>
        <v>245</v>
      </c>
      <c r="D272" s="3">
        <f>IF(A272="","",IFERROR(LOOKUP(2,1/(([1]العمليات!$B$2:$B$1000=A272)*([1]العمليات!$H$2:$H$1000&lt;&gt;"")),[1]العمليات!$H$2:$H$1000),""))</f>
        <v>3</v>
      </c>
      <c r="E272" s="3" t="str">
        <f>IF(A272="","",IFERROR(LOOKUP(2,1/(([1]العمليات!$B$2:$B$1000=A272)*([1]العمليات!$I$2:$I$1000&lt;&gt;"")),[1]العمليات!$I$2:$I$1000),""))</f>
        <v>2ط2</v>
      </c>
    </row>
    <row r="273" spans="1:5" x14ac:dyDescent="0.35">
      <c r="A273" s="5" t="s">
        <v>683</v>
      </c>
      <c r="B273" s="5" t="s">
        <v>684</v>
      </c>
      <c r="C273" s="6">
        <f>SUMIFS([1]العمليات!G:G, [1]العمليات!B:B, A273, [1]العمليات!C:C, "إدخال") - SUMIFS([1]العمليات!G:G, [1]العمليات!B:B, A273, [1]العمليات!C:C, "إخراج")</f>
        <v>0</v>
      </c>
      <c r="D273" s="5" t="str">
        <f>IF(A273="","",IFERROR(LOOKUP(2,1/(([1]العمليات!$B$2:$B$1000=A273)*([1]العمليات!$H$2:$H$1000&lt;&gt;"")),[1]العمليات!$H$2:$H$1000),""))</f>
        <v/>
      </c>
      <c r="E273" s="5" t="str">
        <f>IF(A273="","",IFERROR(LOOKUP(2,1/(([1]العمليات!$B$2:$B$1000=A273)*([1]العمليات!$I$2:$I$1000&lt;&gt;"")),[1]العمليات!$I$2:$I$1000),""))</f>
        <v/>
      </c>
    </row>
    <row r="274" spans="1:5" x14ac:dyDescent="0.35">
      <c r="A274" s="3" t="s">
        <v>243</v>
      </c>
      <c r="B274" s="3" t="s">
        <v>244</v>
      </c>
      <c r="C274" s="4">
        <f>SUMIFS([1]العمليات!G:G, [1]العمليات!B:B, A274, [1]العمليات!C:C, "إدخال") - SUMIFS([1]العمليات!G:G, [1]العمليات!B:B, A274, [1]العمليات!C:C, "إخراج")</f>
        <v>3367</v>
      </c>
      <c r="D274" s="3" t="str">
        <f>IF(A274="","",IFERROR(LOOKUP(2,1/(([1]العمليات!$B$2:$B$1000=A274)*([1]العمليات!$H$2:$H$1000&lt;&gt;"")),[1]العمليات!$H$2:$H$1000),""))</f>
        <v>مختوم ومسك</v>
      </c>
      <c r="E274" s="3" t="str">
        <f>IF(A274="","",IFERROR(LOOKUP(2,1/(([1]العمليات!$B$2:$B$1000=A274)*([1]العمليات!$I$2:$I$1000&lt;&gt;"")),[1]العمليات!$I$2:$I$1000),""))</f>
        <v>-</v>
      </c>
    </row>
    <row r="275" spans="1:5" x14ac:dyDescent="0.35">
      <c r="A275" s="5" t="s">
        <v>245</v>
      </c>
      <c r="B275" s="5" t="s">
        <v>246</v>
      </c>
      <c r="C275" s="6">
        <f>SUMIFS([1]العمليات!G:G, [1]العمليات!B:B, A275, [1]العمليات!C:C, "إدخال") - SUMIFS([1]العمليات!G:G, [1]العمليات!B:B, A275, [1]العمليات!C:C, "إخراج")</f>
        <v>500</v>
      </c>
      <c r="D275" s="5">
        <f>IF(A275="","",IFERROR(LOOKUP(2,1/(([1]العمليات!$B$2:$B$1000=A275)*([1]العمليات!$H$2:$H$1000&lt;&gt;"")),[1]العمليات!$H$2:$H$1000),""))</f>
        <v>3</v>
      </c>
      <c r="E275" s="5">
        <f>IF(A275="","",IFERROR(LOOKUP(2,1/(([1]العمليات!$B$2:$B$1000=A275)*([1]العمليات!$I$2:$I$1000&lt;&gt;"")),[1]العمليات!$I$2:$I$1000),""))</f>
        <v>6</v>
      </c>
    </row>
    <row r="276" spans="1:5" x14ac:dyDescent="0.35">
      <c r="A276" s="3" t="s">
        <v>685</v>
      </c>
      <c r="B276" s="3" t="s">
        <v>686</v>
      </c>
      <c r="C276" s="4">
        <f>SUMIFS([1]العمليات!G:G, [1]العمليات!B:B, A276, [1]العمليات!C:C, "إدخال") - SUMIFS([1]العمليات!G:G, [1]العمليات!B:B, A276, [1]العمليات!C:C, "إخراج")</f>
        <v>0</v>
      </c>
      <c r="D276" s="3" t="str">
        <f>IF(A276="","",IFERROR(LOOKUP(2,1/(([1]العمليات!$B$2:$B$1000=A276)*([1]العمليات!$H$2:$H$1000&lt;&gt;"")),[1]العمليات!$H$2:$H$1000),""))</f>
        <v/>
      </c>
      <c r="E276" s="3" t="str">
        <f>IF(A276="","",IFERROR(LOOKUP(2,1/(([1]العمليات!$B$2:$B$1000=A276)*([1]العمليات!$I$2:$I$1000&lt;&gt;"")),[1]العمليات!$I$2:$I$1000),""))</f>
        <v/>
      </c>
    </row>
    <row r="277" spans="1:5" x14ac:dyDescent="0.35">
      <c r="A277" s="5" t="s">
        <v>687</v>
      </c>
      <c r="B277" s="5" t="s">
        <v>688</v>
      </c>
      <c r="C277" s="6">
        <f>SUMIFS([1]العمليات!G:G, [1]العمليات!B:B, A277, [1]العمليات!C:C, "إدخال") - SUMIFS([1]العمليات!G:G, [1]العمليات!B:B, A277, [1]العمليات!C:C, "إخراج")</f>
        <v>0</v>
      </c>
      <c r="D277" s="5" t="str">
        <f>IF(A277="","",IFERROR(LOOKUP(2,1/(([1]العمليات!$B$2:$B$1000=A277)*([1]العمليات!$H$2:$H$1000&lt;&gt;"")),[1]العمليات!$H$2:$H$1000),""))</f>
        <v/>
      </c>
      <c r="E277" s="5" t="str">
        <f>IF(A277="","",IFERROR(LOOKUP(2,1/(([1]العمليات!$B$2:$B$1000=A277)*([1]العمليات!$I$2:$I$1000&lt;&gt;"")),[1]العمليات!$I$2:$I$1000),""))</f>
        <v/>
      </c>
    </row>
    <row r="278" spans="1:5" x14ac:dyDescent="0.35">
      <c r="A278" s="3" t="s">
        <v>247</v>
      </c>
      <c r="B278" s="3" t="s">
        <v>248</v>
      </c>
      <c r="C278" s="4">
        <f>SUMIFS([1]العمليات!G:G, [1]العمليات!B:B, A278, [1]العمليات!C:C, "إدخال") - SUMIFS([1]العمليات!G:G, [1]العمليات!B:B, A278, [1]العمليات!C:C, "إخراج")</f>
        <v>603</v>
      </c>
      <c r="D278" s="3">
        <f>IF(A278="","",IFERROR(LOOKUP(2,1/(([1]العمليات!$B$2:$B$1000=A278)*([1]العمليات!$H$2:$H$1000&lt;&gt;"")),[1]العمليات!$H$2:$H$1000),""))</f>
        <v>5</v>
      </c>
      <c r="E278" s="3">
        <f>IF(A278="","",IFERROR(LOOKUP(2,1/(([1]العمليات!$B$2:$B$1000=A278)*([1]العمليات!$I$2:$I$1000&lt;&gt;"")),[1]العمليات!$I$2:$I$1000),""))</f>
        <v>2</v>
      </c>
    </row>
    <row r="279" spans="1:5" x14ac:dyDescent="0.35">
      <c r="A279" s="5" t="s">
        <v>249</v>
      </c>
      <c r="B279" s="5" t="s">
        <v>250</v>
      </c>
      <c r="C279" s="6">
        <f>SUMIFS([1]العمليات!G:G, [1]العمليات!B:B, A279, [1]العمليات!C:C, "إدخال") - SUMIFS([1]العمليات!G:G, [1]العمليات!B:B, A279, [1]العمليات!C:C, "إخراج")</f>
        <v>1299</v>
      </c>
      <c r="D279" s="5">
        <f>IF(A279="","",IFERROR(LOOKUP(2,1/(([1]العمليات!$B$2:$B$1000=A279)*([1]العمليات!$H$2:$H$1000&lt;&gt;"")),[1]العمليات!$H$2:$H$1000),""))</f>
        <v>2</v>
      </c>
      <c r="E279" s="5">
        <f>IF(A279="","",IFERROR(LOOKUP(2,1/(([1]العمليات!$B$2:$B$1000=A279)*([1]العمليات!$I$2:$I$1000&lt;&gt;"")),[1]العمليات!$I$2:$I$1000),""))</f>
        <v>3</v>
      </c>
    </row>
    <row r="280" spans="1:5" x14ac:dyDescent="0.35">
      <c r="A280" s="3" t="s">
        <v>689</v>
      </c>
      <c r="B280" s="3" t="s">
        <v>690</v>
      </c>
      <c r="C280" s="4">
        <f>SUMIFS([1]العمليات!G:G, [1]العمليات!B:B, A280, [1]العمليات!C:C, "إدخال") - SUMIFS([1]العمليات!G:G, [1]العمليات!B:B, A280, [1]العمليات!C:C, "إخراج")</f>
        <v>0</v>
      </c>
      <c r="D280" s="3" t="str">
        <f>IF(A280="","",IFERROR(LOOKUP(2,1/(([1]العمليات!$B$2:$B$1000=A280)*([1]العمليات!$H$2:$H$1000&lt;&gt;"")),[1]العمليات!$H$2:$H$1000),""))</f>
        <v/>
      </c>
      <c r="E280" s="3" t="str">
        <f>IF(A280="","",IFERROR(LOOKUP(2,1/(([1]العمليات!$B$2:$B$1000=A280)*([1]العمليات!$I$2:$I$1000&lt;&gt;"")),[1]العمليات!$I$2:$I$1000),""))</f>
        <v/>
      </c>
    </row>
    <row r="281" spans="1:5" x14ac:dyDescent="0.35">
      <c r="A281" s="5" t="s">
        <v>251</v>
      </c>
      <c r="B281" s="5" t="s">
        <v>252</v>
      </c>
      <c r="C281" s="6">
        <f>SUMIFS([1]العمليات!G:G, [1]العمليات!B:B, A281, [1]العمليات!C:C, "إدخال") - SUMIFS([1]العمليات!G:G, [1]العمليات!B:B, A281, [1]العمليات!C:C, "إخراج")</f>
        <v>500</v>
      </c>
      <c r="D281" s="5">
        <f>IF(A281="","",IFERROR(LOOKUP(2,1/(([1]العمليات!$B$2:$B$1000=A281)*([1]العمليات!$H$2:$H$1000&lt;&gt;"")),[1]العمليات!$H$2:$H$1000),""))</f>
        <v>6</v>
      </c>
      <c r="E281" s="5">
        <f>IF(A281="","",IFERROR(LOOKUP(2,1/(([1]العمليات!$B$2:$B$1000=A281)*([1]العمليات!$I$2:$I$1000&lt;&gt;"")),[1]العمليات!$I$2:$I$1000),""))</f>
        <v>6</v>
      </c>
    </row>
    <row r="282" spans="1:5" x14ac:dyDescent="0.35">
      <c r="A282" s="3" t="s">
        <v>691</v>
      </c>
      <c r="B282" s="3" t="s">
        <v>692</v>
      </c>
      <c r="C282" s="4">
        <f>SUMIFS([1]العمليات!G:G, [1]العمليات!B:B, A282, [1]العمليات!C:C, "إدخال") - SUMIFS([1]العمليات!G:G, [1]العمليات!B:B, A282, [1]العمليات!C:C, "إخراج")</f>
        <v>0</v>
      </c>
      <c r="D282" s="3" t="str">
        <f>IF(A282="","",IFERROR(LOOKUP(2,1/(([1]العمليات!$B$2:$B$1000=A282)*([1]العمليات!$H$2:$H$1000&lt;&gt;"")),[1]العمليات!$H$2:$H$1000),""))</f>
        <v/>
      </c>
      <c r="E282" s="3" t="str">
        <f>IF(A282="","",IFERROR(LOOKUP(2,1/(([1]العمليات!$B$2:$B$1000=A282)*([1]العمليات!$I$2:$I$1000&lt;&gt;"")),[1]العمليات!$I$2:$I$1000),""))</f>
        <v/>
      </c>
    </row>
    <row r="283" spans="1:5" x14ac:dyDescent="0.35">
      <c r="A283" s="5" t="s">
        <v>253</v>
      </c>
      <c r="B283" s="5" t="s">
        <v>254</v>
      </c>
      <c r="C283" s="6">
        <f>SUMIFS([1]العمليات!G:G, [1]العمليات!B:B, A283, [1]العمليات!C:C, "إدخال") - SUMIFS([1]العمليات!G:G, [1]العمليات!B:B, A283, [1]العمليات!C:C, "إخراج")</f>
        <v>1605</v>
      </c>
      <c r="D283" s="5">
        <f>IF(A283="","",IFERROR(LOOKUP(2,1/(([1]العمليات!$B$2:$B$1000=A283)*([1]العمليات!$H$2:$H$1000&lt;&gt;"")),[1]العمليات!$H$2:$H$1000),""))</f>
        <v>3</v>
      </c>
      <c r="E283" s="5" t="str">
        <f>IF(A283="","",IFERROR(LOOKUP(2,1/(([1]العمليات!$B$2:$B$1000=A283)*([1]العمليات!$I$2:$I$1000&lt;&gt;"")),[1]العمليات!$I$2:$I$1000),""))</f>
        <v>2ط2</v>
      </c>
    </row>
    <row r="284" spans="1:5" x14ac:dyDescent="0.35">
      <c r="A284" s="3" t="s">
        <v>255</v>
      </c>
      <c r="B284" s="3" t="s">
        <v>256</v>
      </c>
      <c r="C284" s="4">
        <f>SUMIFS([1]العمليات!G:G, [1]العمليات!B:B, A284, [1]العمليات!C:C, "إدخال") - SUMIFS([1]العمليات!G:G, [1]العمليات!B:B, A284, [1]العمليات!C:C, "إخراج")</f>
        <v>618</v>
      </c>
      <c r="D284" s="3">
        <f>IF(A284="","",IFERROR(LOOKUP(2,1/(([1]العمليات!$B$2:$B$1000=A284)*([1]العمليات!$H$2:$H$1000&lt;&gt;"")),[1]العمليات!$H$2:$H$1000),""))</f>
        <v>1</v>
      </c>
      <c r="E284" s="3">
        <f>IF(A284="","",IFERROR(LOOKUP(2,1/(([1]العمليات!$B$2:$B$1000=A284)*([1]العمليات!$I$2:$I$1000&lt;&gt;"")),[1]العمليات!$I$2:$I$1000),""))</f>
        <v>6</v>
      </c>
    </row>
    <row r="285" spans="1:5" x14ac:dyDescent="0.35">
      <c r="A285" s="5" t="s">
        <v>693</v>
      </c>
      <c r="B285" s="5" t="s">
        <v>694</v>
      </c>
      <c r="C285" s="6">
        <f>SUMIFS([1]العمليات!G:G, [1]العمليات!B:B, A285, [1]العمليات!C:C, "إدخال") - SUMIFS([1]العمليات!G:G, [1]العمليات!B:B, A285, [1]العمليات!C:C, "إخراج")</f>
        <v>0</v>
      </c>
      <c r="D285" s="5" t="str">
        <f>IF(A285="","",IFERROR(LOOKUP(2,1/(([1]العمليات!$B$2:$B$1000=A285)*([1]العمليات!$H$2:$H$1000&lt;&gt;"")),[1]العمليات!$H$2:$H$1000),""))</f>
        <v/>
      </c>
      <c r="E285" s="5" t="str">
        <f>IF(A285="","",IFERROR(LOOKUP(2,1/(([1]العمليات!$B$2:$B$1000=A285)*([1]العمليات!$I$2:$I$1000&lt;&gt;"")),[1]العمليات!$I$2:$I$1000),""))</f>
        <v/>
      </c>
    </row>
    <row r="286" spans="1:5" x14ac:dyDescent="0.35">
      <c r="A286" s="3" t="s">
        <v>257</v>
      </c>
      <c r="B286" s="3" t="s">
        <v>258</v>
      </c>
      <c r="C286" s="4">
        <f>SUMIFS([1]العمليات!G:G, [1]العمليات!B:B, A286, [1]العمليات!C:C, "إدخال") - SUMIFS([1]العمليات!G:G, [1]العمليات!B:B, A286, [1]العمليات!C:C, "إخراج")</f>
        <v>434</v>
      </c>
      <c r="D286" s="3">
        <f>IF(A286="","",IFERROR(LOOKUP(2,1/(([1]العمليات!$B$2:$B$1000=A286)*([1]العمليات!$H$2:$H$1000&lt;&gt;"")),[1]العمليات!$H$2:$H$1000),""))</f>
        <v>4</v>
      </c>
      <c r="E286" s="3">
        <f>IF(A286="","",IFERROR(LOOKUP(2,1/(([1]العمليات!$B$2:$B$1000=A286)*([1]العمليات!$I$2:$I$1000&lt;&gt;"")),[1]العمليات!$I$2:$I$1000),""))</f>
        <v>3</v>
      </c>
    </row>
    <row r="287" spans="1:5" x14ac:dyDescent="0.35">
      <c r="A287" s="5" t="s">
        <v>259</v>
      </c>
      <c r="B287" s="5" t="s">
        <v>260</v>
      </c>
      <c r="C287" s="6">
        <f>SUMIFS([1]العمليات!G:G, [1]العمليات!B:B, A287, [1]العمليات!C:C, "إدخال") - SUMIFS([1]العمليات!G:G, [1]العمليات!B:B, A287, [1]العمليات!C:C, "إخراج")</f>
        <v>148</v>
      </c>
      <c r="D287" s="5">
        <f>IF(A287="","",IFERROR(LOOKUP(2,1/(([1]العمليات!$B$2:$B$1000=A287)*([1]العمليات!$H$2:$H$1000&lt;&gt;"")),[1]العمليات!$H$2:$H$1000),""))</f>
        <v>2</v>
      </c>
      <c r="E287" s="5">
        <f>IF(A287="","",IFERROR(LOOKUP(2,1/(([1]العمليات!$B$2:$B$1000=A287)*([1]العمليات!$I$2:$I$1000&lt;&gt;"")),[1]العمليات!$I$2:$I$1000),""))</f>
        <v>6</v>
      </c>
    </row>
    <row r="288" spans="1:5" x14ac:dyDescent="0.35">
      <c r="A288" s="3" t="s">
        <v>695</v>
      </c>
      <c r="B288" s="3" t="s">
        <v>696</v>
      </c>
      <c r="C288" s="4">
        <f>SUMIFS([1]العمليات!G:G, [1]العمليات!B:B, A288, [1]العمليات!C:C, "إدخال") - SUMIFS([1]العمليات!G:G, [1]العمليات!B:B, A288, [1]العمليات!C:C, "إخراج")</f>
        <v>0</v>
      </c>
      <c r="D288" s="3" t="str">
        <f>IF(A288="","",IFERROR(LOOKUP(2,1/(([1]العمليات!$B$2:$B$1000=A288)*([1]العمليات!$H$2:$H$1000&lt;&gt;"")),[1]العمليات!$H$2:$H$1000),""))</f>
        <v/>
      </c>
      <c r="E288" s="3" t="str">
        <f>IF(A288="","",IFERROR(LOOKUP(2,1/(([1]العمليات!$B$2:$B$1000=A288)*([1]العمليات!$I$2:$I$1000&lt;&gt;"")),[1]العمليات!$I$2:$I$1000),""))</f>
        <v/>
      </c>
    </row>
    <row r="289" spans="1:5" x14ac:dyDescent="0.35">
      <c r="A289" s="5" t="s">
        <v>697</v>
      </c>
      <c r="B289" s="5" t="s">
        <v>698</v>
      </c>
      <c r="C289" s="6">
        <f>SUMIFS([1]العمليات!G:G, [1]العمليات!B:B, A289, [1]العمليات!C:C, "إدخال") - SUMIFS([1]العمليات!G:G, [1]العمليات!B:B, A289, [1]العمليات!C:C, "إخراج")</f>
        <v>0</v>
      </c>
      <c r="D289" s="5" t="str">
        <f>IF(A289="","",IFERROR(LOOKUP(2,1/(([1]العمليات!$B$2:$B$1000=A289)*([1]العمليات!$H$2:$H$1000&lt;&gt;"")),[1]العمليات!$H$2:$H$1000),""))</f>
        <v/>
      </c>
      <c r="E289" s="5" t="str">
        <f>IF(A289="","",IFERROR(LOOKUP(2,1/(([1]العمليات!$B$2:$B$1000=A289)*([1]العمليات!$I$2:$I$1000&lt;&gt;"")),[1]العمليات!$I$2:$I$1000),""))</f>
        <v/>
      </c>
    </row>
    <row r="290" spans="1:5" x14ac:dyDescent="0.35">
      <c r="A290" s="3" t="s">
        <v>699</v>
      </c>
      <c r="B290" s="3" t="s">
        <v>700</v>
      </c>
      <c r="C290" s="4">
        <f>SUMIFS([1]العمليات!G:G, [1]العمليات!B:B, A290, [1]العمليات!C:C, "إدخال") - SUMIFS([1]العمليات!G:G, [1]العمليات!B:B, A290, [1]العمليات!C:C, "إخراج")</f>
        <v>0</v>
      </c>
      <c r="D290" s="3" t="str">
        <f>IF(A290="","",IFERROR(LOOKUP(2,1/(([1]العمليات!$B$2:$B$1000=A290)*([1]العمليات!$H$2:$H$1000&lt;&gt;"")),[1]العمليات!$H$2:$H$1000),""))</f>
        <v/>
      </c>
      <c r="E290" s="3" t="str">
        <f>IF(A290="","",IFERROR(LOOKUP(2,1/(([1]العمليات!$B$2:$B$1000=A290)*([1]العمليات!$I$2:$I$1000&lt;&gt;"")),[1]العمليات!$I$2:$I$1000),""))</f>
        <v/>
      </c>
    </row>
    <row r="291" spans="1:5" x14ac:dyDescent="0.35">
      <c r="A291" s="5" t="s">
        <v>701</v>
      </c>
      <c r="B291" s="5" t="s">
        <v>702</v>
      </c>
      <c r="C291" s="6">
        <f>SUMIFS([1]العمليات!G:G, [1]العمليات!B:B, A291, [1]العمليات!C:C, "إدخال") - SUMIFS([1]العمليات!G:G, [1]العمليات!B:B, A291, [1]العمليات!C:C, "إخراج")</f>
        <v>0</v>
      </c>
      <c r="D291" s="5" t="str">
        <f>IF(A291="","",IFERROR(LOOKUP(2,1/(([1]العمليات!$B$2:$B$1000=A291)*([1]العمليات!$H$2:$H$1000&lt;&gt;"")),[1]العمليات!$H$2:$H$1000),""))</f>
        <v/>
      </c>
      <c r="E291" s="5" t="str">
        <f>IF(A291="","",IFERROR(LOOKUP(2,1/(([1]العمليات!$B$2:$B$1000=A291)*([1]العمليات!$I$2:$I$1000&lt;&gt;"")),[1]العمليات!$I$2:$I$1000),""))</f>
        <v/>
      </c>
    </row>
    <row r="292" spans="1:5" x14ac:dyDescent="0.35">
      <c r="A292" s="3" t="s">
        <v>703</v>
      </c>
      <c r="B292" s="3" t="s">
        <v>704</v>
      </c>
      <c r="C292" s="4">
        <f>SUMIFS([1]العمليات!G:G, [1]العمليات!B:B, A292, [1]العمليات!C:C, "إدخال") - SUMIFS([1]العمليات!G:G, [1]العمليات!B:B, A292, [1]العمليات!C:C, "إخراج")</f>
        <v>0</v>
      </c>
      <c r="D292" s="3" t="str">
        <f>IF(A292="","",IFERROR(LOOKUP(2,1/(([1]العمليات!$B$2:$B$1000=A292)*([1]العمليات!$H$2:$H$1000&lt;&gt;"")),[1]العمليات!$H$2:$H$1000),""))</f>
        <v/>
      </c>
      <c r="E292" s="3" t="str">
        <f>IF(A292="","",IFERROR(LOOKUP(2,1/(([1]العمليات!$B$2:$B$1000=A292)*([1]العمليات!$I$2:$I$1000&lt;&gt;"")),[1]العمليات!$I$2:$I$1000),""))</f>
        <v/>
      </c>
    </row>
    <row r="293" spans="1:5" x14ac:dyDescent="0.35">
      <c r="A293" s="5" t="s">
        <v>705</v>
      </c>
      <c r="B293" s="5" t="s">
        <v>706</v>
      </c>
      <c r="C293" s="6">
        <f>SUMIFS([1]العمليات!G:G, [1]العمليات!B:B, A293, [1]العمليات!C:C, "إدخال") - SUMIFS([1]العمليات!G:G, [1]العمليات!B:B, A293, [1]العمليات!C:C, "إخراج")</f>
        <v>0</v>
      </c>
      <c r="D293" s="5" t="str">
        <f>IF(A293="","",IFERROR(LOOKUP(2,1/(([1]العمليات!$B$2:$B$1000=A293)*([1]العمليات!$H$2:$H$1000&lt;&gt;"")),[1]العمليات!$H$2:$H$1000),""))</f>
        <v/>
      </c>
      <c r="E293" s="5" t="str">
        <f>IF(A293="","",IFERROR(LOOKUP(2,1/(([1]العمليات!$B$2:$B$1000=A293)*([1]العمليات!$I$2:$I$1000&lt;&gt;"")),[1]العمليات!$I$2:$I$1000),""))</f>
        <v/>
      </c>
    </row>
    <row r="294" spans="1:5" x14ac:dyDescent="0.35">
      <c r="A294" s="3" t="s">
        <v>261</v>
      </c>
      <c r="B294" s="3" t="s">
        <v>262</v>
      </c>
      <c r="C294" s="4">
        <f>SUMIFS([1]العمليات!G:G, [1]العمليات!B:B, A294, [1]العمليات!C:C, "إدخال") - SUMIFS([1]العمليات!G:G, [1]العمليات!B:B, A294, [1]العمليات!C:C, "إخراج")</f>
        <v>1019</v>
      </c>
      <c r="D294" s="3">
        <f>IF(A294="","",IFERROR(LOOKUP(2,1/(([1]العمليات!$B$2:$B$1000=A294)*([1]العمليات!$H$2:$H$1000&lt;&gt;"")),[1]العمليات!$H$2:$H$1000),""))</f>
        <v>3</v>
      </c>
      <c r="E294" s="3">
        <f>IF(A294="","",IFERROR(LOOKUP(2,1/(([1]العمليات!$B$2:$B$1000=A294)*([1]العمليات!$I$2:$I$1000&lt;&gt;"")),[1]العمليات!$I$2:$I$1000),""))</f>
        <v>4</v>
      </c>
    </row>
    <row r="295" spans="1:5" x14ac:dyDescent="0.35">
      <c r="A295" s="5" t="s">
        <v>263</v>
      </c>
      <c r="B295" s="5" t="s">
        <v>264</v>
      </c>
      <c r="C295" s="6">
        <f>SUMIFS([1]العمليات!G:G, [1]العمليات!B:B, A295, [1]العمليات!C:C, "إدخال") - SUMIFS([1]العمليات!G:G, [1]العمليات!B:B, A295, [1]العمليات!C:C, "إخراج")</f>
        <v>811</v>
      </c>
      <c r="D295" s="5">
        <f>IF(A295="","",IFERROR(LOOKUP(2,1/(([1]العمليات!$B$2:$B$1000=A295)*([1]العمليات!$H$2:$H$1000&lt;&gt;"")),[1]العمليات!$H$2:$H$1000),""))</f>
        <v>1</v>
      </c>
      <c r="E295" s="5">
        <f>IF(A295="","",IFERROR(LOOKUP(2,1/(([1]العمليات!$B$2:$B$1000=A295)*([1]العمليات!$I$2:$I$1000&lt;&gt;"")),[1]العمليات!$I$2:$I$1000),""))</f>
        <v>6</v>
      </c>
    </row>
    <row r="296" spans="1:5" x14ac:dyDescent="0.35">
      <c r="A296" s="3" t="s">
        <v>707</v>
      </c>
      <c r="B296" s="3" t="s">
        <v>708</v>
      </c>
      <c r="C296" s="4">
        <f>SUMIFS([1]العمليات!G:G, [1]العمليات!B:B, A296, [1]العمليات!C:C, "إدخال") - SUMIFS([1]العمليات!G:G, [1]العمليات!B:B, A296, [1]العمليات!C:C, "إخراج")</f>
        <v>0</v>
      </c>
      <c r="D296" s="3" t="str">
        <f>IF(A296="","",IFERROR(LOOKUP(2,1/(([1]العمليات!$B$2:$B$1000=A296)*([1]العمليات!$H$2:$H$1000&lt;&gt;"")),[1]العمليات!$H$2:$H$1000),""))</f>
        <v/>
      </c>
      <c r="E296" s="3" t="str">
        <f>IF(A296="","",IFERROR(LOOKUP(2,1/(([1]العمليات!$B$2:$B$1000=A296)*([1]العمليات!$I$2:$I$1000&lt;&gt;"")),[1]العمليات!$I$2:$I$1000),""))</f>
        <v/>
      </c>
    </row>
    <row r="297" spans="1:5" x14ac:dyDescent="0.35">
      <c r="A297" s="5" t="s">
        <v>265</v>
      </c>
      <c r="B297" s="5" t="s">
        <v>266</v>
      </c>
      <c r="C297" s="6">
        <f>SUMIFS([1]العمليات!G:G, [1]العمليات!B:B, A297, [1]العمليات!C:C, "إدخال") - SUMIFS([1]العمليات!G:G, [1]العمليات!B:B, A297, [1]العمليات!C:C, "إخراج")</f>
        <v>717</v>
      </c>
      <c r="D297" s="5">
        <f>IF(A297="","",IFERROR(LOOKUP(2,1/(([1]العمليات!$B$2:$B$1000=A297)*([1]العمليات!$H$2:$H$1000&lt;&gt;"")),[1]العمليات!$H$2:$H$1000),""))</f>
        <v>1</v>
      </c>
      <c r="E297" s="5">
        <f>IF(A297="","",IFERROR(LOOKUP(2,1/(([1]العمليات!$B$2:$B$1000=A297)*([1]العمليات!$I$2:$I$1000&lt;&gt;"")),[1]العمليات!$I$2:$I$1000),""))</f>
        <v>3</v>
      </c>
    </row>
    <row r="298" spans="1:5" x14ac:dyDescent="0.35">
      <c r="A298" s="3" t="s">
        <v>709</v>
      </c>
      <c r="B298" s="3" t="s">
        <v>710</v>
      </c>
      <c r="C298" s="4">
        <f>SUMIFS([1]العمليات!G:G, [1]العمليات!B:B, A298, [1]العمليات!C:C, "إدخال") - SUMIFS([1]العمليات!G:G, [1]العمليات!B:B, A298, [1]العمليات!C:C, "إخراج")</f>
        <v>0</v>
      </c>
      <c r="D298" s="3" t="str">
        <f>IF(A298="","",IFERROR(LOOKUP(2,1/(([1]العمليات!$B$2:$B$1000=A298)*([1]العمليات!$H$2:$H$1000&lt;&gt;"")),[1]العمليات!$H$2:$H$1000),""))</f>
        <v/>
      </c>
      <c r="E298" s="3" t="str">
        <f>IF(A298="","",IFERROR(LOOKUP(2,1/(([1]العمليات!$B$2:$B$1000=A298)*([1]العمليات!$I$2:$I$1000&lt;&gt;"")),[1]العمليات!$I$2:$I$1000),""))</f>
        <v/>
      </c>
    </row>
    <row r="299" spans="1:5" x14ac:dyDescent="0.35">
      <c r="A299" s="5" t="s">
        <v>267</v>
      </c>
      <c r="B299" s="5" t="s">
        <v>268</v>
      </c>
      <c r="C299" s="6">
        <f>SUMIFS([1]العمليات!G:G, [1]العمليات!B:B, A299, [1]العمليات!C:C, "إدخال") - SUMIFS([1]العمليات!G:G, [1]العمليات!B:B, A299, [1]العمليات!C:C, "إخراج")</f>
        <v>257</v>
      </c>
      <c r="D299" s="5">
        <f>IF(A299="","",IFERROR(LOOKUP(2,1/(([1]العمليات!$B$2:$B$1000=A299)*([1]العمليات!$H$2:$H$1000&lt;&gt;"")),[1]العمليات!$H$2:$H$1000),""))</f>
        <v>3</v>
      </c>
      <c r="E299" s="5">
        <f>IF(A299="","",IFERROR(LOOKUP(2,1/(([1]العمليات!$B$2:$B$1000=A299)*([1]العمليات!$I$2:$I$1000&lt;&gt;"")),[1]العمليات!$I$2:$I$1000),""))</f>
        <v>6</v>
      </c>
    </row>
    <row r="300" spans="1:5" x14ac:dyDescent="0.35">
      <c r="A300" s="3" t="s">
        <v>269</v>
      </c>
      <c r="B300" s="3" t="s">
        <v>270</v>
      </c>
      <c r="C300" s="4">
        <f>SUMIFS([1]العمليات!G:G, [1]العمليات!B:B, A300, [1]العمليات!C:C, "إدخال") - SUMIFS([1]العمليات!G:G, [1]العمليات!B:B, A300, [1]العمليات!C:C, "إخراج")</f>
        <v>31</v>
      </c>
      <c r="D300" s="3">
        <f>IF(A300="","",IFERROR(LOOKUP(2,1/(([1]العمليات!$B$2:$B$1000=A300)*([1]العمليات!$H$2:$H$1000&lt;&gt;"")),[1]العمليات!$H$2:$H$1000),""))</f>
        <v>6</v>
      </c>
      <c r="E300" s="3">
        <f>IF(A300="","",IFERROR(LOOKUP(2,1/(([1]العمليات!$B$2:$B$1000=A300)*([1]العمليات!$I$2:$I$1000&lt;&gt;"")),[1]العمليات!$I$2:$I$1000),""))</f>
        <v>5</v>
      </c>
    </row>
    <row r="301" spans="1:5" x14ac:dyDescent="0.35">
      <c r="A301" s="5" t="s">
        <v>711</v>
      </c>
      <c r="B301" s="5" t="s">
        <v>712</v>
      </c>
      <c r="C301" s="6">
        <f>SUMIFS([1]العمليات!G:G, [1]العمليات!B:B, A301, [1]العمليات!C:C, "إدخال") - SUMIFS([1]العمليات!G:G, [1]العمليات!B:B, A301, [1]العمليات!C:C, "إخراج")</f>
        <v>0</v>
      </c>
      <c r="D301" s="5" t="str">
        <f>IF(A301="","",IFERROR(LOOKUP(2,1/(([1]العمليات!$B$2:$B$1000=A301)*([1]العمليات!$H$2:$H$1000&lt;&gt;"")),[1]العمليات!$H$2:$H$1000),""))</f>
        <v/>
      </c>
      <c r="E301" s="5" t="str">
        <f>IF(A301="","",IFERROR(LOOKUP(2,1/(([1]العمليات!$B$2:$B$1000=A301)*([1]العمليات!$I$2:$I$1000&lt;&gt;"")),[1]العمليات!$I$2:$I$1000),""))</f>
        <v/>
      </c>
    </row>
    <row r="302" spans="1:5" x14ac:dyDescent="0.35">
      <c r="A302" s="3" t="s">
        <v>271</v>
      </c>
      <c r="B302" s="3" t="s">
        <v>272</v>
      </c>
      <c r="C302" s="4">
        <f>SUMIFS([1]العمليات!G:G, [1]العمليات!B:B, A302, [1]العمليات!C:C, "إدخال") - SUMIFS([1]العمليات!G:G, [1]العمليات!B:B, A302, [1]العمليات!C:C, "إخراج")</f>
        <v>649</v>
      </c>
      <c r="D302" s="3">
        <f>IF(A302="","",IFERROR(LOOKUP(2,1/(([1]العمليات!$B$2:$B$1000=A302)*([1]العمليات!$H$2:$H$1000&lt;&gt;"")),[1]العمليات!$H$2:$H$1000),""))</f>
        <v>2</v>
      </c>
      <c r="E302" s="3">
        <f>IF(A302="","",IFERROR(LOOKUP(2,1/(([1]العمليات!$B$2:$B$1000=A302)*([1]العمليات!$I$2:$I$1000&lt;&gt;"")),[1]العمليات!$I$2:$I$1000),""))</f>
        <v>5</v>
      </c>
    </row>
    <row r="303" spans="1:5" x14ac:dyDescent="0.35">
      <c r="A303" s="5" t="s">
        <v>713</v>
      </c>
      <c r="B303" s="5" t="s">
        <v>714</v>
      </c>
      <c r="C303" s="6">
        <f>SUMIFS([1]العمليات!G:G, [1]العمليات!B:B, A303, [1]العمليات!C:C, "إدخال") - SUMIFS([1]العمليات!G:G, [1]العمليات!B:B, A303, [1]العمليات!C:C, "إخراج")</f>
        <v>0</v>
      </c>
      <c r="D303" s="5" t="str">
        <f>IF(A303="","",IFERROR(LOOKUP(2,1/(([1]العمليات!$B$2:$B$1000=A303)*([1]العمليات!$H$2:$H$1000&lt;&gt;"")),[1]العمليات!$H$2:$H$1000),""))</f>
        <v/>
      </c>
      <c r="E303" s="5" t="str">
        <f>IF(A303="","",IFERROR(LOOKUP(2,1/(([1]العمليات!$B$2:$B$1000=A303)*([1]العمليات!$I$2:$I$1000&lt;&gt;"")),[1]العمليات!$I$2:$I$1000),""))</f>
        <v/>
      </c>
    </row>
    <row r="304" spans="1:5" x14ac:dyDescent="0.35">
      <c r="A304" s="3" t="s">
        <v>273</v>
      </c>
      <c r="B304" s="3" t="s">
        <v>274</v>
      </c>
      <c r="C304" s="4">
        <f>SUMIFS([1]العمليات!G:G, [1]العمليات!B:B, A304, [1]العمليات!C:C, "إدخال") - SUMIFS([1]العمليات!G:G, [1]العمليات!B:B, A304, [1]العمليات!C:C, "إخراج")</f>
        <v>200</v>
      </c>
      <c r="D304" s="3">
        <f>IF(A304="","",IFERROR(LOOKUP(2,1/(([1]العمليات!$B$2:$B$1000=A304)*([1]العمليات!$H$2:$H$1000&lt;&gt;"")),[1]العمليات!$H$2:$H$1000),""))</f>
        <v>6</v>
      </c>
      <c r="E304" s="3">
        <f>IF(A304="","",IFERROR(LOOKUP(2,1/(([1]العمليات!$B$2:$B$1000=A304)*([1]العمليات!$I$2:$I$1000&lt;&gt;"")),[1]العمليات!$I$2:$I$1000),""))</f>
        <v>6</v>
      </c>
    </row>
    <row r="305" spans="1:5" x14ac:dyDescent="0.35">
      <c r="A305" s="5" t="s">
        <v>275</v>
      </c>
      <c r="B305" s="5" t="s">
        <v>276</v>
      </c>
      <c r="C305" s="6">
        <f>SUMIFS([1]العمليات!G:G, [1]العمليات!B:B, A305, [1]العمليات!C:C, "إدخال") - SUMIFS([1]العمليات!G:G, [1]العمليات!B:B, A305, [1]العمليات!C:C, "إخراج")</f>
        <v>480</v>
      </c>
      <c r="D305" s="5">
        <f>IF(A305="","",IFERROR(LOOKUP(2,1/(([1]العمليات!$B$2:$B$1000=A305)*([1]العمليات!$H$2:$H$1000&lt;&gt;"")),[1]العمليات!$H$2:$H$1000),""))</f>
        <v>2</v>
      </c>
      <c r="E305" s="5">
        <f>IF(A305="","",IFERROR(LOOKUP(2,1/(([1]العمليات!$B$2:$B$1000=A305)*([1]العمليات!$I$2:$I$1000&lt;&gt;"")),[1]العمليات!$I$2:$I$1000),""))</f>
        <v>6</v>
      </c>
    </row>
    <row r="306" spans="1:5" x14ac:dyDescent="0.35">
      <c r="A306" s="3" t="s">
        <v>715</v>
      </c>
      <c r="B306" s="3" t="s">
        <v>716</v>
      </c>
      <c r="C306" s="4">
        <f>SUMIFS([1]العمليات!G:G, [1]العمليات!B:B, A306, [1]العمليات!C:C, "إدخال") - SUMIFS([1]العمليات!G:G, [1]العمليات!B:B, A306, [1]العمليات!C:C, "إخراج")</f>
        <v>0</v>
      </c>
      <c r="D306" s="3" t="str">
        <f>IF(A306="","",IFERROR(LOOKUP(2,1/(([1]العمليات!$B$2:$B$1000=A306)*([1]العمليات!$H$2:$H$1000&lt;&gt;"")),[1]العمليات!$H$2:$H$1000),""))</f>
        <v/>
      </c>
      <c r="E306" s="3" t="str">
        <f>IF(A306="","",IFERROR(LOOKUP(2,1/(([1]العمليات!$B$2:$B$1000=A306)*([1]العمليات!$I$2:$I$1000&lt;&gt;"")),[1]العمليات!$I$2:$I$1000),""))</f>
        <v/>
      </c>
    </row>
    <row r="307" spans="1:5" x14ac:dyDescent="0.35">
      <c r="A307" s="5" t="s">
        <v>277</v>
      </c>
      <c r="B307" s="5" t="s">
        <v>278</v>
      </c>
      <c r="C307" s="6">
        <f>SUMIFS([1]العمليات!G:G, [1]العمليات!B:B, A307, [1]العمليات!C:C, "إدخال") - SUMIFS([1]العمليات!G:G, [1]العمليات!B:B, A307, [1]العمليات!C:C, "إخراج")</f>
        <v>93</v>
      </c>
      <c r="D307" s="5">
        <f>IF(A307="","",IFERROR(LOOKUP(2,1/(([1]العمليات!$B$2:$B$1000=A307)*([1]العمليات!$H$2:$H$1000&lt;&gt;"")),[1]العمليات!$H$2:$H$1000),""))</f>
        <v>5</v>
      </c>
      <c r="E307" s="5">
        <f>IF(A307="","",IFERROR(LOOKUP(2,1/(([1]العمليات!$B$2:$B$1000=A307)*([1]العمليات!$I$2:$I$1000&lt;&gt;"")),[1]العمليات!$I$2:$I$1000),""))</f>
        <v>3</v>
      </c>
    </row>
    <row r="308" spans="1:5" x14ac:dyDescent="0.35">
      <c r="A308" s="3" t="s">
        <v>279</v>
      </c>
      <c r="B308" s="3" t="s">
        <v>280</v>
      </c>
      <c r="C308" s="4">
        <f>SUMIFS([1]العمليات!G:G, [1]العمليات!B:B, A308, [1]العمليات!C:C, "إدخال") - SUMIFS([1]العمليات!G:G, [1]العمليات!B:B, A308, [1]العمليات!C:C, "إخراج")</f>
        <v>600</v>
      </c>
      <c r="D308" s="3">
        <f>IF(A308="","",IFERROR(LOOKUP(2,1/(([1]العمليات!$B$2:$B$1000=A308)*([1]العمليات!$H$2:$H$1000&lt;&gt;"")),[1]العمليات!$H$2:$H$1000),""))</f>
        <v>6</v>
      </c>
      <c r="E308" s="3">
        <f>IF(A308="","",IFERROR(LOOKUP(2,1/(([1]العمليات!$B$2:$B$1000=A308)*([1]العمليات!$I$2:$I$1000&lt;&gt;"")),[1]العمليات!$I$2:$I$1000),""))</f>
        <v>4</v>
      </c>
    </row>
    <row r="309" spans="1:5" x14ac:dyDescent="0.35">
      <c r="A309" s="5" t="s">
        <v>717</v>
      </c>
      <c r="B309" s="5" t="s">
        <v>718</v>
      </c>
      <c r="C309" s="6">
        <f>SUMIFS([1]العمليات!G:G, [1]العمليات!B:B, A309, [1]العمليات!C:C, "إدخال") - SUMIFS([1]العمليات!G:G, [1]العمليات!B:B, A309, [1]العمليات!C:C, "إخراج")</f>
        <v>0</v>
      </c>
      <c r="D309" s="5" t="str">
        <f>IF(A309="","",IFERROR(LOOKUP(2,1/(([1]العمليات!$B$2:$B$1000=A309)*([1]العمليات!$H$2:$H$1000&lt;&gt;"")),[1]العمليات!$H$2:$H$1000),""))</f>
        <v/>
      </c>
      <c r="E309" s="5" t="str">
        <f>IF(A309="","",IFERROR(LOOKUP(2,1/(([1]العمليات!$B$2:$B$1000=A309)*([1]العمليات!$I$2:$I$1000&lt;&gt;"")),[1]العمليات!$I$2:$I$1000),""))</f>
        <v/>
      </c>
    </row>
    <row r="310" spans="1:5" x14ac:dyDescent="0.35">
      <c r="A310" s="3" t="s">
        <v>281</v>
      </c>
      <c r="B310" s="3" t="s">
        <v>282</v>
      </c>
      <c r="C310" s="4">
        <f>SUMIFS([1]العمليات!G:G, [1]العمليات!B:B, A310, [1]العمليات!C:C, "إدخال") - SUMIFS([1]العمليات!G:G, [1]العمليات!B:B, A310, [1]العمليات!C:C, "إخراج")</f>
        <v>335</v>
      </c>
      <c r="D310" s="3">
        <f>IF(A310="","",IFERROR(LOOKUP(2,1/(([1]العمليات!$B$2:$B$1000=A310)*([1]العمليات!$H$2:$H$1000&lt;&gt;"")),[1]العمليات!$H$2:$H$1000),""))</f>
        <v>2</v>
      </c>
      <c r="E310" s="3">
        <f>IF(A310="","",IFERROR(LOOKUP(2,1/(([1]العمليات!$B$2:$B$1000=A310)*([1]العمليات!$I$2:$I$1000&lt;&gt;"")),[1]العمليات!$I$2:$I$1000),""))</f>
        <v>1</v>
      </c>
    </row>
    <row r="311" spans="1:5" x14ac:dyDescent="0.35">
      <c r="A311" s="5" t="s">
        <v>283</v>
      </c>
      <c r="B311" s="5" t="s">
        <v>284</v>
      </c>
      <c r="C311" s="6">
        <f>SUMIFS([1]العمليات!G:G, [1]العمليات!B:B, A311, [1]العمليات!C:C, "إدخال") - SUMIFS([1]العمليات!G:G, [1]العمليات!B:B, A311, [1]العمليات!C:C, "إخراج")</f>
        <v>503</v>
      </c>
      <c r="D311" s="5">
        <f>IF(A311="","",IFERROR(LOOKUP(2,1/(([1]العمليات!$B$2:$B$1000=A311)*([1]العمليات!$H$2:$H$1000&lt;&gt;"")),[1]العمليات!$H$2:$H$1000),""))</f>
        <v>2</v>
      </c>
      <c r="E311" s="5">
        <f>IF(A311="","",IFERROR(LOOKUP(2,1/(([1]العمليات!$B$2:$B$1000=A311)*([1]العمليات!$I$2:$I$1000&lt;&gt;"")),[1]العمليات!$I$2:$I$1000),""))</f>
        <v>5</v>
      </c>
    </row>
    <row r="312" spans="1:5" x14ac:dyDescent="0.35">
      <c r="A312" s="3" t="s">
        <v>285</v>
      </c>
      <c r="B312" s="3" t="s">
        <v>286</v>
      </c>
      <c r="C312" s="4">
        <f>SUMIFS([1]العمليات!G:G, [1]العمليات!B:B, A312, [1]العمليات!C:C, "إدخال") - SUMIFS([1]العمليات!G:G, [1]العمليات!B:B, A312, [1]العمليات!C:C, "إخراج")</f>
        <v>1505</v>
      </c>
      <c r="D312" s="3">
        <f>IF(A312="","",IFERROR(LOOKUP(2,1/(([1]العمليات!$B$2:$B$1000=A312)*([1]العمليات!$H$2:$H$1000&lt;&gt;"")),[1]العمليات!$H$2:$H$1000),""))</f>
        <v>5</v>
      </c>
      <c r="E312" s="3">
        <f>IF(A312="","",IFERROR(LOOKUP(2,1/(([1]العمليات!$B$2:$B$1000=A312)*([1]العمليات!$I$2:$I$1000&lt;&gt;"")),[1]العمليات!$I$2:$I$1000),""))</f>
        <v>5</v>
      </c>
    </row>
    <row r="313" spans="1:5" x14ac:dyDescent="0.35">
      <c r="A313" s="5" t="s">
        <v>719</v>
      </c>
      <c r="B313" s="5" t="s">
        <v>720</v>
      </c>
      <c r="C313" s="6">
        <f>SUMIFS([1]العمليات!G:G, [1]العمليات!B:B, A313, [1]العمليات!C:C, "إدخال") - SUMIFS([1]العمليات!G:G, [1]العمليات!B:B, A313, [1]العمليات!C:C, "إخراج")</f>
        <v>0</v>
      </c>
      <c r="D313" s="5" t="str">
        <f>IF(A313="","",IFERROR(LOOKUP(2,1/(([1]العمليات!$B$2:$B$1000=A313)*([1]العمليات!$H$2:$H$1000&lt;&gt;"")),[1]العمليات!$H$2:$H$1000),""))</f>
        <v/>
      </c>
      <c r="E313" s="5" t="str">
        <f>IF(A313="","",IFERROR(LOOKUP(2,1/(([1]العمليات!$B$2:$B$1000=A313)*([1]العمليات!$I$2:$I$1000&lt;&gt;"")),[1]العمليات!$I$2:$I$1000),""))</f>
        <v/>
      </c>
    </row>
    <row r="314" spans="1:5" x14ac:dyDescent="0.35">
      <c r="A314" s="3" t="s">
        <v>287</v>
      </c>
      <c r="B314" s="3" t="s">
        <v>288</v>
      </c>
      <c r="C314" s="4">
        <f>SUMIFS([1]العمليات!G:G, [1]العمليات!B:B, A314, [1]العمليات!C:C, "إدخال") - SUMIFS([1]العمليات!G:G, [1]العمليات!B:B, A314, [1]العمليات!C:C, "إخراج")</f>
        <v>600</v>
      </c>
      <c r="D314" s="3">
        <f>IF(A314="","",IFERROR(LOOKUP(2,1/(([1]العمليات!$B$2:$B$1000=A314)*([1]العمليات!$H$2:$H$1000&lt;&gt;"")),[1]العمليات!$H$2:$H$1000),""))</f>
        <v>6</v>
      </c>
      <c r="E314" s="3">
        <f>IF(A314="","",IFERROR(LOOKUP(2,1/(([1]العمليات!$B$2:$B$1000=A314)*([1]العمليات!$I$2:$I$1000&lt;&gt;"")),[1]العمليات!$I$2:$I$1000),""))</f>
        <v>4</v>
      </c>
    </row>
    <row r="315" spans="1:5" x14ac:dyDescent="0.35">
      <c r="A315" s="5" t="s">
        <v>721</v>
      </c>
      <c r="B315" s="5" t="s">
        <v>722</v>
      </c>
      <c r="C315" s="6">
        <f>SUMIFS([1]العمليات!G:G, [1]العمليات!B:B, A315, [1]العمليات!C:C, "إدخال") - SUMIFS([1]العمليات!G:G, [1]العمليات!B:B, A315, [1]العمليات!C:C, "إخراج")</f>
        <v>0</v>
      </c>
      <c r="D315" s="5" t="str">
        <f>IF(A315="","",IFERROR(LOOKUP(2,1/(([1]العمليات!$B$2:$B$1000=A315)*([1]العمليات!$H$2:$H$1000&lt;&gt;"")),[1]العمليات!$H$2:$H$1000),""))</f>
        <v/>
      </c>
      <c r="E315" s="5" t="str">
        <f>IF(A315="","",IFERROR(LOOKUP(2,1/(([1]العمليات!$B$2:$B$1000=A315)*([1]العمليات!$I$2:$I$1000&lt;&gt;"")),[1]العمليات!$I$2:$I$1000),""))</f>
        <v/>
      </c>
    </row>
    <row r="316" spans="1:5" x14ac:dyDescent="0.35">
      <c r="A316" s="3" t="s">
        <v>289</v>
      </c>
      <c r="B316" s="3" t="s">
        <v>290</v>
      </c>
      <c r="C316" s="4">
        <f>SUMIFS([1]العمليات!G:G, [1]العمليات!B:B, A316, [1]العمليات!C:C, "إدخال") - SUMIFS([1]العمليات!G:G, [1]العمليات!B:B, A316, [1]العمليات!C:C, "إخراج")</f>
        <v>812</v>
      </c>
      <c r="D316" s="3">
        <f>IF(A316="","",IFERROR(LOOKUP(2,1/(([1]العمليات!$B$2:$B$1000=A316)*([1]العمليات!$H$2:$H$1000&lt;&gt;"")),[1]العمليات!$H$2:$H$1000),""))</f>
        <v>6</v>
      </c>
      <c r="E316" s="3">
        <f>IF(A316="","",IFERROR(LOOKUP(2,1/(([1]العمليات!$B$2:$B$1000=A316)*([1]العمليات!$I$2:$I$1000&lt;&gt;"")),[1]العمليات!$I$2:$I$1000),""))</f>
        <v>2</v>
      </c>
    </row>
    <row r="317" spans="1:5" x14ac:dyDescent="0.35">
      <c r="A317" s="5" t="s">
        <v>291</v>
      </c>
      <c r="B317" s="5" t="s">
        <v>292</v>
      </c>
      <c r="C317" s="6">
        <f>SUMIFS([1]العمليات!G:G, [1]العمليات!B:B, A317, [1]العمليات!C:C, "إدخال") - SUMIFS([1]العمليات!G:G, [1]العمليات!B:B, A317, [1]العمليات!C:C, "إخراج")</f>
        <v>1073</v>
      </c>
      <c r="D317" s="5">
        <f>IF(A317="","",IFERROR(LOOKUP(2,1/(([1]العمليات!$B$2:$B$1000=A317)*([1]العمليات!$H$2:$H$1000&lt;&gt;"")),[1]العمليات!$H$2:$H$1000),""))</f>
        <v>6</v>
      </c>
      <c r="E317" s="5">
        <f>IF(A317="","",IFERROR(LOOKUP(2,1/(([1]العمليات!$B$2:$B$1000=A317)*([1]العمليات!$I$2:$I$1000&lt;&gt;"")),[1]العمليات!$I$2:$I$1000),""))</f>
        <v>4</v>
      </c>
    </row>
    <row r="318" spans="1:5" x14ac:dyDescent="0.35">
      <c r="A318" s="3" t="s">
        <v>293</v>
      </c>
      <c r="B318" s="3" t="s">
        <v>294</v>
      </c>
      <c r="C318" s="4">
        <f>SUMIFS([1]العمليات!G:G, [1]العمليات!B:B, A318, [1]العمليات!C:C, "إدخال") - SUMIFS([1]العمليات!G:G, [1]العمليات!B:B, A318, [1]العمليات!C:C, "إخراج")</f>
        <v>477</v>
      </c>
      <c r="D318" s="3">
        <f>IF(A318="","",IFERROR(LOOKUP(2,1/(([1]العمليات!$B$2:$B$1000=A318)*([1]العمليات!$H$2:$H$1000&lt;&gt;"")),[1]العمليات!$H$2:$H$1000),""))</f>
        <v>1</v>
      </c>
      <c r="E318" s="3">
        <f>IF(A318="","",IFERROR(LOOKUP(2,1/(([1]العمليات!$B$2:$B$1000=A318)*([1]العمليات!$I$2:$I$1000&lt;&gt;"")),[1]العمليات!$I$2:$I$1000),""))</f>
        <v>4</v>
      </c>
    </row>
    <row r="319" spans="1:5" x14ac:dyDescent="0.35">
      <c r="A319" s="5" t="s">
        <v>295</v>
      </c>
      <c r="B319" s="5" t="s">
        <v>296</v>
      </c>
      <c r="C319" s="6">
        <f>SUMIFS([1]العمليات!G:G, [1]العمليات!B:B, A319, [1]العمليات!C:C, "إدخال") - SUMIFS([1]العمليات!G:G, [1]العمليات!B:B, A319, [1]العمليات!C:C, "إخراج")</f>
        <v>610</v>
      </c>
      <c r="D319" s="5">
        <f>IF(A319="","",IFERROR(LOOKUP(2,1/(([1]العمليات!$B$2:$B$1000=A319)*([1]العمليات!$H$2:$H$1000&lt;&gt;"")),[1]العمليات!$H$2:$H$1000),""))</f>
        <v>5</v>
      </c>
      <c r="E319" s="5">
        <f>IF(A319="","",IFERROR(LOOKUP(2,1/(([1]العمليات!$B$2:$B$1000=A319)*([1]العمليات!$I$2:$I$1000&lt;&gt;"")),[1]العمليات!$I$2:$I$1000),""))</f>
        <v>1</v>
      </c>
    </row>
    <row r="320" spans="1:5" x14ac:dyDescent="0.35">
      <c r="A320" s="3" t="s">
        <v>297</v>
      </c>
      <c r="B320" s="3" t="s">
        <v>298</v>
      </c>
      <c r="C320" s="4">
        <f>SUMIFS([1]العمليات!G:G, [1]العمليات!B:B, A320, [1]العمليات!C:C, "إدخال") - SUMIFS([1]العمليات!G:G, [1]العمليات!B:B, A320, [1]العمليات!C:C, "إخراج")</f>
        <v>3351</v>
      </c>
      <c r="D320" s="3" t="str">
        <f>IF(A320="","",IFERROR(LOOKUP(2,1/(([1]العمليات!$B$2:$B$1000=A320)*([1]العمليات!$H$2:$H$1000&lt;&gt;"")),[1]العمليات!$H$2:$H$1000),""))</f>
        <v>مختوم ومسك</v>
      </c>
      <c r="E320" s="3" t="str">
        <f>IF(A320="","",IFERROR(LOOKUP(2,1/(([1]العمليات!$B$2:$B$1000=A320)*([1]العمليات!$I$2:$I$1000&lt;&gt;"")),[1]العمليات!$I$2:$I$1000),""))</f>
        <v>-</v>
      </c>
    </row>
    <row r="321" spans="1:5" x14ac:dyDescent="0.35">
      <c r="A321" s="5" t="s">
        <v>723</v>
      </c>
      <c r="B321" s="5" t="s">
        <v>724</v>
      </c>
      <c r="C321" s="6">
        <f>SUMIFS([1]العمليات!G:G, [1]العمليات!B:B, A321, [1]العمليات!C:C, "إدخال") - SUMIFS([1]العمليات!G:G, [1]العمليات!B:B, A321, [1]العمليات!C:C, "إخراج")</f>
        <v>0</v>
      </c>
      <c r="D321" s="5" t="str">
        <f>IF(A321="","",IFERROR(LOOKUP(2,1/(([1]العمليات!$B$2:$B$1000=A321)*([1]العمليات!$H$2:$H$1000&lt;&gt;"")),[1]العمليات!$H$2:$H$1000),""))</f>
        <v/>
      </c>
      <c r="E321" s="5" t="str">
        <f>IF(A321="","",IFERROR(LOOKUP(2,1/(([1]العمليات!$B$2:$B$1000=A321)*([1]العمليات!$I$2:$I$1000&lt;&gt;"")),[1]العمليات!$I$2:$I$1000),""))</f>
        <v/>
      </c>
    </row>
    <row r="322" spans="1:5" x14ac:dyDescent="0.35">
      <c r="A322" s="3" t="s">
        <v>725</v>
      </c>
      <c r="B322" s="3" t="s">
        <v>726</v>
      </c>
      <c r="C322" s="4">
        <f>SUMIFS([1]العمليات!G:G, [1]العمليات!B:B, A322, [1]العمليات!C:C, "إدخال") - SUMIFS([1]العمليات!G:G, [1]العمليات!B:B, A322, [1]العمليات!C:C, "إخراج")</f>
        <v>0</v>
      </c>
      <c r="D322" s="3" t="str">
        <f>IF(A322="","",IFERROR(LOOKUP(2,1/(([1]العمليات!$B$2:$B$1000=A322)*([1]العمليات!$H$2:$H$1000&lt;&gt;"")),[1]العمليات!$H$2:$H$1000),""))</f>
        <v/>
      </c>
      <c r="E322" s="3" t="str">
        <f>IF(A322="","",IFERROR(LOOKUP(2,1/(([1]العمليات!$B$2:$B$1000=A322)*([1]العمليات!$I$2:$I$1000&lt;&gt;"")),[1]العمليات!$I$2:$I$1000),""))</f>
        <v/>
      </c>
    </row>
    <row r="323" spans="1:5" x14ac:dyDescent="0.35">
      <c r="A323" s="5" t="s">
        <v>727</v>
      </c>
      <c r="B323" s="5" t="s">
        <v>728</v>
      </c>
      <c r="C323" s="6">
        <f>SUMIFS([1]العمليات!G:G, [1]العمليات!B:B, A323, [1]العمليات!C:C, "إدخال") - SUMIFS([1]العمليات!G:G, [1]العمليات!B:B, A323, [1]العمليات!C:C, "إخراج")</f>
        <v>0</v>
      </c>
      <c r="D323" s="5" t="str">
        <f>IF(A323="","",IFERROR(LOOKUP(2,1/(([1]العمليات!$B$2:$B$1000=A323)*([1]العمليات!$H$2:$H$1000&lt;&gt;"")),[1]العمليات!$H$2:$H$1000),""))</f>
        <v/>
      </c>
      <c r="E323" s="5" t="str">
        <f>IF(A323="","",IFERROR(LOOKUP(2,1/(([1]العمليات!$B$2:$B$1000=A323)*([1]العمليات!$I$2:$I$1000&lt;&gt;"")),[1]العمليات!$I$2:$I$1000),""))</f>
        <v/>
      </c>
    </row>
    <row r="324" spans="1:5" x14ac:dyDescent="0.35">
      <c r="A324" s="3" t="s">
        <v>729</v>
      </c>
      <c r="B324" s="3" t="s">
        <v>730</v>
      </c>
      <c r="C324" s="4">
        <f>SUMIFS([1]العمليات!G:G, [1]العمليات!B:B, A324, [1]العمليات!C:C, "إدخال") - SUMIFS([1]العمليات!G:G, [1]العمليات!B:B, A324, [1]العمليات!C:C, "إخراج")</f>
        <v>0</v>
      </c>
      <c r="D324" s="3" t="str">
        <f>IF(A324="","",IFERROR(LOOKUP(2,1/(([1]العمليات!$B$2:$B$1000=A324)*([1]العمليات!$H$2:$H$1000&lt;&gt;"")),[1]العمليات!$H$2:$H$1000),""))</f>
        <v/>
      </c>
      <c r="E324" s="3" t="str">
        <f>IF(A324="","",IFERROR(LOOKUP(2,1/(([1]العمليات!$B$2:$B$1000=A324)*([1]العمليات!$I$2:$I$1000&lt;&gt;"")),[1]العمليات!$I$2:$I$1000),""))</f>
        <v/>
      </c>
    </row>
    <row r="325" spans="1:5" x14ac:dyDescent="0.35">
      <c r="A325" s="5" t="s">
        <v>299</v>
      </c>
      <c r="B325" s="5" t="s">
        <v>300</v>
      </c>
      <c r="C325" s="6">
        <f>SUMIFS([1]العمليات!G:G, [1]العمليات!B:B, A325, [1]العمليات!C:C, "إدخال") - SUMIFS([1]العمليات!G:G, [1]العمليات!B:B, A325, [1]العمليات!C:C, "إخراج")</f>
        <v>195</v>
      </c>
      <c r="D325" s="5">
        <f>IF(A325="","",IFERROR(LOOKUP(2,1/(([1]العمليات!$B$2:$B$1000=A325)*([1]العمليات!$H$2:$H$1000&lt;&gt;"")),[1]العمليات!$H$2:$H$1000),""))</f>
        <v>3</v>
      </c>
      <c r="E325" s="5" t="str">
        <f>IF(A325="","",IFERROR(LOOKUP(2,1/(([1]العمليات!$B$2:$B$1000=A325)*([1]العمليات!$I$2:$I$1000&lt;&gt;"")),[1]العمليات!$I$2:$I$1000),""))</f>
        <v>2ط2</v>
      </c>
    </row>
    <row r="326" spans="1:5" x14ac:dyDescent="0.35">
      <c r="A326" s="3" t="s">
        <v>731</v>
      </c>
      <c r="B326" s="3" t="s">
        <v>732</v>
      </c>
      <c r="C326" s="4">
        <f>SUMIFS([1]العمليات!G:G, [1]العمليات!B:B, A326, [1]العمليات!C:C, "إدخال") - SUMIFS([1]العمليات!G:G, [1]العمليات!B:B, A326, [1]العمليات!C:C, "إخراج")</f>
        <v>0</v>
      </c>
      <c r="D326" s="3" t="str">
        <f>IF(A326="","",IFERROR(LOOKUP(2,1/(([1]العمليات!$B$2:$B$1000=A326)*([1]العمليات!$H$2:$H$1000&lt;&gt;"")),[1]العمليات!$H$2:$H$1000),""))</f>
        <v/>
      </c>
      <c r="E326" s="3" t="str">
        <f>IF(A326="","",IFERROR(LOOKUP(2,1/(([1]العمليات!$B$2:$B$1000=A326)*([1]العمليات!$I$2:$I$1000&lt;&gt;"")),[1]العمليات!$I$2:$I$1000),""))</f>
        <v/>
      </c>
    </row>
    <row r="327" spans="1:5" x14ac:dyDescent="0.35">
      <c r="A327" s="5" t="s">
        <v>301</v>
      </c>
      <c r="B327" s="5" t="s">
        <v>302</v>
      </c>
      <c r="C327" s="6">
        <f>SUMIFS([1]العمليات!G:G, [1]العمليات!B:B, A327, [1]العمليات!C:C, "إدخال") - SUMIFS([1]العمليات!G:G, [1]العمليات!B:B, A327, [1]العمليات!C:C, "إخراج")</f>
        <v>1694</v>
      </c>
      <c r="D327" s="5">
        <f>IF(A327="","",IFERROR(LOOKUP(2,1/(([1]العمليات!$B$2:$B$1000=A327)*([1]العمليات!$H$2:$H$1000&lt;&gt;"")),[1]العمليات!$H$2:$H$1000),""))</f>
        <v>4</v>
      </c>
      <c r="E327" s="5">
        <f>IF(A327="","",IFERROR(LOOKUP(2,1/(([1]العمليات!$B$2:$B$1000=A327)*([1]العمليات!$I$2:$I$1000&lt;&gt;"")),[1]العمليات!$I$2:$I$1000),""))</f>
        <v>3</v>
      </c>
    </row>
    <row r="328" spans="1:5" x14ac:dyDescent="0.35">
      <c r="A328" s="3" t="s">
        <v>733</v>
      </c>
      <c r="B328" s="3" t="s">
        <v>734</v>
      </c>
      <c r="C328" s="4">
        <f>SUMIFS([1]العمليات!G:G, [1]العمليات!B:B, A328, [1]العمليات!C:C, "إدخال") - SUMIFS([1]العمليات!G:G, [1]العمليات!B:B, A328, [1]العمليات!C:C, "إخراج")</f>
        <v>0</v>
      </c>
      <c r="D328" s="3" t="str">
        <f>IF(A328="","",IFERROR(LOOKUP(2,1/(([1]العمليات!$B$2:$B$1000=A328)*([1]العمليات!$H$2:$H$1000&lt;&gt;"")),[1]العمليات!$H$2:$H$1000),""))</f>
        <v/>
      </c>
      <c r="E328" s="3" t="str">
        <f>IF(A328="","",IFERROR(LOOKUP(2,1/(([1]العمليات!$B$2:$B$1000=A328)*([1]العمليات!$I$2:$I$1000&lt;&gt;"")),[1]العمليات!$I$2:$I$1000),""))</f>
        <v/>
      </c>
    </row>
    <row r="329" spans="1:5" x14ac:dyDescent="0.35">
      <c r="A329" s="5" t="s">
        <v>303</v>
      </c>
      <c r="B329" s="5" t="s">
        <v>304</v>
      </c>
      <c r="C329" s="6">
        <f>SUMIFS([1]العمليات!G:G, [1]العمليات!B:B, A329, [1]العمليات!C:C, "إدخال") - SUMIFS([1]العمليات!G:G, [1]العمليات!B:B, A329, [1]العمليات!C:C, "إخراج")</f>
        <v>610</v>
      </c>
      <c r="D329" s="5">
        <f>IF(A329="","",IFERROR(LOOKUP(2,1/(([1]العمليات!$B$2:$B$1000=A329)*([1]العمليات!$H$2:$H$1000&lt;&gt;"")),[1]العمليات!$H$2:$H$1000),""))</f>
        <v>4</v>
      </c>
      <c r="E329" s="5">
        <f>IF(A329="","",IFERROR(LOOKUP(2,1/(([1]العمليات!$B$2:$B$1000=A329)*([1]العمليات!$I$2:$I$1000&lt;&gt;"")),[1]العمليات!$I$2:$I$1000),""))</f>
        <v>5</v>
      </c>
    </row>
    <row r="330" spans="1:5" x14ac:dyDescent="0.35">
      <c r="A330" s="3" t="s">
        <v>305</v>
      </c>
      <c r="B330" s="3" t="s">
        <v>306</v>
      </c>
      <c r="C330" s="4">
        <f>SUMIFS([1]العمليات!G:G, [1]العمليات!B:B, A330, [1]العمليات!C:C, "إدخال") - SUMIFS([1]العمليات!G:G, [1]العمليات!B:B, A330, [1]العمليات!C:C, "إخراج")</f>
        <v>385</v>
      </c>
      <c r="D330" s="3">
        <f>IF(A330="","",IFERROR(LOOKUP(2,1/(([1]العمليات!$B$2:$B$1000=A330)*([1]العمليات!$H$2:$H$1000&lt;&gt;"")),[1]العمليات!$H$2:$H$1000),""))</f>
        <v>6</v>
      </c>
      <c r="E330" s="3">
        <f>IF(A330="","",IFERROR(LOOKUP(2,1/(([1]العمليات!$B$2:$B$1000=A330)*([1]العمليات!$I$2:$I$1000&lt;&gt;"")),[1]العمليات!$I$2:$I$1000),""))</f>
        <v>6</v>
      </c>
    </row>
    <row r="331" spans="1:5" x14ac:dyDescent="0.35">
      <c r="A331" s="5" t="s">
        <v>307</v>
      </c>
      <c r="B331" s="5" t="s">
        <v>308</v>
      </c>
      <c r="C331" s="6">
        <f>SUMIFS([1]العمليات!G:G, [1]العمليات!B:B, A331, [1]العمليات!C:C, "إدخال") - SUMIFS([1]العمليات!G:G, [1]العمليات!B:B, A331, [1]العمليات!C:C, "إخراج")</f>
        <v>397</v>
      </c>
      <c r="D331" s="5">
        <f>IF(A331="","",IFERROR(LOOKUP(2,1/(([1]العمليات!$B$2:$B$1000=A331)*([1]العمليات!$H$2:$H$1000&lt;&gt;"")),[1]العمليات!$H$2:$H$1000),""))</f>
        <v>2</v>
      </c>
      <c r="E331" s="5">
        <f>IF(A331="","",IFERROR(LOOKUP(2,1/(([1]العمليات!$B$2:$B$1000=A331)*([1]العمليات!$I$2:$I$1000&lt;&gt;"")),[1]العمليات!$I$2:$I$1000),""))</f>
        <v>5</v>
      </c>
    </row>
    <row r="332" spans="1:5" x14ac:dyDescent="0.35">
      <c r="A332" s="3" t="s">
        <v>309</v>
      </c>
      <c r="B332" s="3" t="s">
        <v>310</v>
      </c>
      <c r="C332" s="4">
        <f>SUMIFS([1]العمليات!G:G, [1]العمليات!B:B, A332, [1]العمليات!C:C, "إدخال") - SUMIFS([1]العمليات!G:G, [1]العمليات!B:B, A332, [1]العمليات!C:C, "إخراج")</f>
        <v>1500</v>
      </c>
      <c r="D332" s="3">
        <f>IF(A332="","",IFERROR(LOOKUP(2,1/(([1]العمليات!$B$2:$B$1000=A332)*([1]العمليات!$H$2:$H$1000&lt;&gt;"")),[1]العمليات!$H$2:$H$1000),""))</f>
        <v>3</v>
      </c>
      <c r="E332" s="3">
        <f>IF(A332="","",IFERROR(LOOKUP(2,1/(([1]العمليات!$B$2:$B$1000=A332)*([1]العمليات!$I$2:$I$1000&lt;&gt;"")),[1]العمليات!$I$2:$I$1000),""))</f>
        <v>5</v>
      </c>
    </row>
    <row r="333" spans="1:5" x14ac:dyDescent="0.35">
      <c r="A333" s="5" t="s">
        <v>735</v>
      </c>
      <c r="B333" s="5" t="s">
        <v>736</v>
      </c>
      <c r="C333" s="6">
        <f>SUMIFS([1]العمليات!G:G, [1]العمليات!B:B, A333, [1]العمليات!C:C, "إدخال") - SUMIFS([1]العمليات!G:G, [1]العمليات!B:B, A333, [1]العمليات!C:C, "إخراج")</f>
        <v>0</v>
      </c>
      <c r="D333" s="5" t="str">
        <f>IF(A333="","",IFERROR(LOOKUP(2,1/(([1]العمليات!$B$2:$B$1000=A333)*([1]العمليات!$H$2:$H$1000&lt;&gt;"")),[1]العمليات!$H$2:$H$1000),""))</f>
        <v/>
      </c>
      <c r="E333" s="5" t="str">
        <f>IF(A333="","",IFERROR(LOOKUP(2,1/(([1]العمليات!$B$2:$B$1000=A333)*([1]العمليات!$I$2:$I$1000&lt;&gt;"")),[1]العمليات!$I$2:$I$1000),""))</f>
        <v/>
      </c>
    </row>
    <row r="334" spans="1:5" x14ac:dyDescent="0.35">
      <c r="A334" s="3" t="s">
        <v>311</v>
      </c>
      <c r="B334" s="3" t="s">
        <v>312</v>
      </c>
      <c r="C334" s="4">
        <f>SUMIFS([1]العمليات!G:G, [1]العمليات!B:B, A334, [1]العمليات!C:C, "إدخال") - SUMIFS([1]العمليات!G:G, [1]العمليات!B:B, A334, [1]العمليات!C:C, "إخراج")</f>
        <v>1119</v>
      </c>
      <c r="D334" s="3" t="str">
        <f>IF(A334="","",IFERROR(LOOKUP(2,1/(([1]العمليات!$B$2:$B$1000=A334)*([1]العمليات!$H$2:$H$1000&lt;&gt;"")),[1]العمليات!$H$2:$H$1000),""))</f>
        <v>مختوم ومسك</v>
      </c>
      <c r="E334" s="3" t="str">
        <f>IF(A334="","",IFERROR(LOOKUP(2,1/(([1]العمليات!$B$2:$B$1000=A334)*([1]العمليات!$I$2:$I$1000&lt;&gt;"")),[1]العمليات!$I$2:$I$1000),""))</f>
        <v>-</v>
      </c>
    </row>
    <row r="335" spans="1:5" x14ac:dyDescent="0.35">
      <c r="A335" s="5" t="s">
        <v>313</v>
      </c>
      <c r="B335" s="5" t="s">
        <v>314</v>
      </c>
      <c r="C335" s="6">
        <f>SUMIFS([1]العمليات!G:G, [1]العمليات!B:B, A335, [1]العمليات!C:C, "إدخال") - SUMIFS([1]العمليات!G:G, [1]العمليات!B:B, A335, [1]العمليات!C:C, "إخراج")</f>
        <v>17</v>
      </c>
      <c r="D335" s="5" t="str">
        <f>IF(A335="","",IFERROR(LOOKUP(2,1/(([1]العمليات!$B$2:$B$1000=A335)*([1]العمليات!$H$2:$H$1000&lt;&gt;"")),[1]العمليات!$H$2:$H$1000),""))</f>
        <v>مختوم ومسك</v>
      </c>
      <c r="E335" s="5" t="str">
        <f>IF(A335="","",IFERROR(LOOKUP(2,1/(([1]العمليات!$B$2:$B$1000=A335)*([1]العمليات!$I$2:$I$1000&lt;&gt;"")),[1]العمليات!$I$2:$I$1000),""))</f>
        <v>-</v>
      </c>
    </row>
    <row r="336" spans="1:5" x14ac:dyDescent="0.35">
      <c r="A336" s="3" t="s">
        <v>315</v>
      </c>
      <c r="B336" s="3" t="s">
        <v>316</v>
      </c>
      <c r="C336" s="4">
        <f>SUMIFS([1]العمليات!G:G, [1]العمليات!B:B, A336, [1]العمليات!C:C, "إدخال") - SUMIFS([1]العمليات!G:G, [1]العمليات!B:B, A336, [1]العمليات!C:C, "إخراج")</f>
        <v>697</v>
      </c>
      <c r="D336" s="3">
        <f>IF(A336="","",IFERROR(LOOKUP(2,1/(([1]العمليات!$B$2:$B$1000=A336)*([1]العمليات!$H$2:$H$1000&lt;&gt;"")),[1]العمليات!$H$2:$H$1000),""))</f>
        <v>6</v>
      </c>
      <c r="E336" s="3">
        <f>IF(A336="","",IFERROR(LOOKUP(2,1/(([1]العمليات!$B$2:$B$1000=A336)*([1]العمليات!$I$2:$I$1000&lt;&gt;"")),[1]العمليات!$I$2:$I$1000),""))</f>
        <v>5</v>
      </c>
    </row>
    <row r="337" spans="1:5" x14ac:dyDescent="0.35">
      <c r="A337" s="5" t="s">
        <v>737</v>
      </c>
      <c r="B337" s="5" t="s">
        <v>738</v>
      </c>
      <c r="C337" s="6">
        <f>SUMIFS([1]العمليات!G:G, [1]العمليات!B:B, A337, [1]العمليات!C:C, "إدخال") - SUMIFS([1]العمليات!G:G, [1]العمليات!B:B, A337, [1]العمليات!C:C, "إخراج")</f>
        <v>0</v>
      </c>
      <c r="D337" s="5" t="str">
        <f>IF(A337="","",IFERROR(LOOKUP(2,1/(([1]العمليات!$B$2:$B$1000=A337)*([1]العمليات!$H$2:$H$1000&lt;&gt;"")),[1]العمليات!$H$2:$H$1000),""))</f>
        <v>مختوم ومسك</v>
      </c>
      <c r="E337" s="5" t="str">
        <f>IF(A337="","",IFERROR(LOOKUP(2,1/(([1]العمليات!$B$2:$B$1000=A337)*([1]العمليات!$I$2:$I$1000&lt;&gt;"")),[1]العمليات!$I$2:$I$1000),""))</f>
        <v>-</v>
      </c>
    </row>
    <row r="338" spans="1:5" x14ac:dyDescent="0.35">
      <c r="A338" s="3" t="s">
        <v>317</v>
      </c>
      <c r="B338" s="3" t="s">
        <v>318</v>
      </c>
      <c r="C338" s="4">
        <f>SUMIFS([1]العمليات!G:G, [1]العمليات!B:B, A338, [1]العمليات!C:C, "إدخال") - SUMIFS([1]العمليات!G:G, [1]العمليات!B:B, A338, [1]العمليات!C:C, "إخراج")</f>
        <v>2330</v>
      </c>
      <c r="D338" s="3" t="str">
        <f>IF(A338="","",IFERROR(LOOKUP(2,1/(([1]العمليات!$B$2:$B$1000=A338)*([1]العمليات!$H$2:$H$1000&lt;&gt;"")),[1]العمليات!$H$2:$H$1000),""))</f>
        <v>مختوم ومسك</v>
      </c>
      <c r="E338" s="3" t="str">
        <f>IF(A338="","",IFERROR(LOOKUP(2,1/(([1]العمليات!$B$2:$B$1000=A338)*([1]العمليات!$I$2:$I$1000&lt;&gt;"")),[1]العمليات!$I$2:$I$1000),""))</f>
        <v>-</v>
      </c>
    </row>
    <row r="339" spans="1:5" x14ac:dyDescent="0.35">
      <c r="A339" s="5" t="s">
        <v>319</v>
      </c>
      <c r="B339" s="5" t="s">
        <v>320</v>
      </c>
      <c r="C339" s="6">
        <f>SUMIFS([1]العمليات!G:G, [1]العمليات!B:B, A339, [1]العمليات!C:C, "إدخال") - SUMIFS([1]العمليات!G:G, [1]العمليات!B:B, A339, [1]العمليات!C:C, "إخراج")</f>
        <v>43</v>
      </c>
      <c r="D339" s="5">
        <f>IF(A339="","",IFERROR(LOOKUP(2,1/(([1]العمليات!$B$2:$B$1000=A339)*([1]العمليات!$H$2:$H$1000&lt;&gt;"")),[1]العمليات!$H$2:$H$1000),""))</f>
        <v>6</v>
      </c>
      <c r="E339" s="5">
        <f>IF(A339="","",IFERROR(LOOKUP(2,1/(([1]العمليات!$B$2:$B$1000=A339)*([1]العمليات!$I$2:$I$1000&lt;&gt;"")),[1]العمليات!$I$2:$I$1000),""))</f>
        <v>6</v>
      </c>
    </row>
    <row r="340" spans="1:5" x14ac:dyDescent="0.35">
      <c r="A340" s="3" t="s">
        <v>321</v>
      </c>
      <c r="B340" s="3" t="s">
        <v>322</v>
      </c>
      <c r="C340" s="4">
        <f>SUMIFS([1]العمليات!G:G, [1]العمليات!B:B, A340, [1]العمليات!C:C, "إدخال") - SUMIFS([1]العمليات!G:G, [1]العمليات!B:B, A340, [1]العمليات!C:C, "إخراج")</f>
        <v>150</v>
      </c>
      <c r="D340" s="3" t="str">
        <f>IF(A340="","",IFERROR(LOOKUP(2,1/(([1]العمليات!$B$2:$B$1000=A340)*([1]العمليات!$H$2:$H$1000&lt;&gt;"")),[1]العمليات!$H$2:$H$1000),""))</f>
        <v>مختوم ومسك</v>
      </c>
      <c r="E340" s="3" t="str">
        <f>IF(A340="","",IFERROR(LOOKUP(2,1/(([1]العمليات!$B$2:$B$1000=A340)*([1]العمليات!$I$2:$I$1000&lt;&gt;"")),[1]العمليات!$I$2:$I$1000),""))</f>
        <v>-</v>
      </c>
    </row>
    <row r="341" spans="1:5" x14ac:dyDescent="0.35">
      <c r="A341" s="5" t="s">
        <v>739</v>
      </c>
      <c r="B341" s="5" t="s">
        <v>740</v>
      </c>
      <c r="C341" s="6">
        <f>SUMIFS([1]العمليات!G:G, [1]العمليات!B:B, A341, [1]العمليات!C:C, "إدخال") - SUMIFS([1]العمليات!G:G, [1]العمليات!B:B, A341, [1]العمليات!C:C, "إخراج")</f>
        <v>0</v>
      </c>
      <c r="D341" s="5" t="str">
        <f>IF(A341="","",IFERROR(LOOKUP(2,1/(([1]العمليات!$B$2:$B$1000=A341)*([1]العمليات!$H$2:$H$1000&lt;&gt;"")),[1]العمليات!$H$2:$H$1000),""))</f>
        <v/>
      </c>
      <c r="E341" s="5" t="str">
        <f>IF(A341="","",IFERROR(LOOKUP(2,1/(([1]العمليات!$B$2:$B$1000=A341)*([1]العمليات!$I$2:$I$1000&lt;&gt;"")),[1]العمليات!$I$2:$I$1000),""))</f>
        <v/>
      </c>
    </row>
    <row r="342" spans="1:5" x14ac:dyDescent="0.35">
      <c r="A342" s="3" t="s">
        <v>741</v>
      </c>
      <c r="B342" s="3" t="s">
        <v>742</v>
      </c>
      <c r="C342" s="4">
        <f>SUMIFS([1]العمليات!G:G, [1]العمليات!B:B, A342, [1]العمليات!C:C, "إدخال") - SUMIFS([1]العمليات!G:G, [1]العمليات!B:B, A342, [1]العمليات!C:C, "إخراج")</f>
        <v>0</v>
      </c>
      <c r="D342" s="3" t="str">
        <f>IF(A342="","",IFERROR(LOOKUP(2,1/(([1]العمليات!$B$2:$B$1000=A342)*([1]العمليات!$H$2:$H$1000&lt;&gt;"")),[1]العمليات!$H$2:$H$1000),""))</f>
        <v/>
      </c>
      <c r="E342" s="3" t="str">
        <f>IF(A342="","",IFERROR(LOOKUP(2,1/(([1]العمليات!$B$2:$B$1000=A342)*([1]العمليات!$I$2:$I$1000&lt;&gt;"")),[1]العمليات!$I$2:$I$1000),""))</f>
        <v/>
      </c>
    </row>
    <row r="343" spans="1:5" x14ac:dyDescent="0.35">
      <c r="A343" s="5" t="s">
        <v>323</v>
      </c>
      <c r="B343" s="5" t="s">
        <v>324</v>
      </c>
      <c r="C343" s="6">
        <f>SUMIFS([1]العمليات!G:G, [1]العمليات!B:B, A343, [1]العمليات!C:C, "إدخال") - SUMIFS([1]العمليات!G:G, [1]العمليات!B:B, A343, [1]العمليات!C:C, "إخراج")</f>
        <v>148</v>
      </c>
      <c r="D343" s="5">
        <f>IF(A343="","",IFERROR(LOOKUP(2,1/(([1]العمليات!$B$2:$B$1000=A343)*([1]العمليات!$H$2:$H$1000&lt;&gt;"")),[1]العمليات!$H$2:$H$1000),""))</f>
        <v>6</v>
      </c>
      <c r="E343" s="5">
        <f>IF(A343="","",IFERROR(LOOKUP(2,1/(([1]العمليات!$B$2:$B$1000=A343)*([1]العمليات!$I$2:$I$1000&lt;&gt;"")),[1]العمليات!$I$2:$I$1000),""))</f>
        <v>2</v>
      </c>
    </row>
    <row r="344" spans="1:5" x14ac:dyDescent="0.35">
      <c r="A344" s="3" t="s">
        <v>325</v>
      </c>
      <c r="B344" s="3" t="s">
        <v>326</v>
      </c>
      <c r="C344" s="4">
        <f>SUMIFS([1]العمليات!G:G, [1]العمليات!B:B, A344, [1]العمليات!C:C, "إدخال") - SUMIFS([1]العمليات!G:G, [1]العمليات!B:B, A344, [1]العمليات!C:C, "إخراج")</f>
        <v>466</v>
      </c>
      <c r="D344" s="3">
        <f>IF(A344="","",IFERROR(LOOKUP(2,1/(([1]العمليات!$B$2:$B$1000=A344)*([1]العمليات!$H$2:$H$1000&lt;&gt;"")),[1]العمليات!$H$2:$H$1000),""))</f>
        <v>4</v>
      </c>
      <c r="E344" s="3">
        <f>IF(A344="","",IFERROR(LOOKUP(2,1/(([1]العمليات!$B$2:$B$1000=A344)*([1]العمليات!$I$2:$I$1000&lt;&gt;"")),[1]العمليات!$I$2:$I$1000),""))</f>
        <v>5</v>
      </c>
    </row>
    <row r="345" spans="1:5" x14ac:dyDescent="0.35">
      <c r="A345" s="5" t="s">
        <v>327</v>
      </c>
      <c r="B345" s="5" t="s">
        <v>328</v>
      </c>
      <c r="C345" s="6">
        <f>SUMIFS([1]العمليات!G:G, [1]العمليات!B:B, A345, [1]العمليات!C:C, "إدخال") - SUMIFS([1]العمليات!G:G, [1]العمليات!B:B, A345, [1]العمليات!C:C, "إخراج")</f>
        <v>291</v>
      </c>
      <c r="D345" s="5">
        <f>IF(A345="","",IFERROR(LOOKUP(2,1/(([1]العمليات!$B$2:$B$1000=A345)*([1]العمليات!$H$2:$H$1000&lt;&gt;"")),[1]العمليات!$H$2:$H$1000),""))</f>
        <v>4</v>
      </c>
      <c r="E345" s="5">
        <f>IF(A345="","",IFERROR(LOOKUP(2,1/(([1]العمليات!$B$2:$B$1000=A345)*([1]العمليات!$I$2:$I$1000&lt;&gt;"")),[1]العمليات!$I$2:$I$1000),""))</f>
        <v>3</v>
      </c>
    </row>
    <row r="346" spans="1:5" x14ac:dyDescent="0.35">
      <c r="A346" s="3" t="s">
        <v>329</v>
      </c>
      <c r="B346" s="3" t="s">
        <v>330</v>
      </c>
      <c r="C346" s="4">
        <f>SUMIFS([1]العمليات!G:G, [1]العمليات!B:B, A346, [1]العمليات!C:C, "إدخال") - SUMIFS([1]العمليات!G:G, [1]العمليات!B:B, A346, [1]العمليات!C:C, "إخراج")</f>
        <v>205</v>
      </c>
      <c r="D346" s="3">
        <f>IF(A346="","",IFERROR(LOOKUP(2,1/(([1]العمليات!$B$2:$B$1000=A346)*([1]العمليات!$H$2:$H$1000&lt;&gt;"")),[1]العمليات!$H$2:$H$1000),""))</f>
        <v>5</v>
      </c>
      <c r="E346" s="3">
        <f>IF(A346="","",IFERROR(LOOKUP(2,1/(([1]العمليات!$B$2:$B$1000=A346)*([1]العمليات!$I$2:$I$1000&lt;&gt;"")),[1]العمليات!$I$2:$I$1000),""))</f>
        <v>3</v>
      </c>
    </row>
    <row r="347" spans="1:5" x14ac:dyDescent="0.35">
      <c r="A347" s="5" t="s">
        <v>331</v>
      </c>
      <c r="B347" s="5" t="s">
        <v>332</v>
      </c>
      <c r="C347" s="6">
        <f>SUMIFS([1]العمليات!G:G, [1]العمليات!B:B, A347, [1]العمليات!C:C, "إدخال") - SUMIFS([1]العمليات!G:G, [1]العمليات!B:B, A347, [1]العمليات!C:C, "إخراج")</f>
        <v>1506</v>
      </c>
      <c r="D347" s="5">
        <f>IF(A347="","",IFERROR(LOOKUP(2,1/(([1]العمليات!$B$2:$B$1000=A347)*([1]العمليات!$H$2:$H$1000&lt;&gt;"")),[1]العمليات!$H$2:$H$1000),""))</f>
        <v>3</v>
      </c>
      <c r="E347" s="5">
        <f>IF(A347="","",IFERROR(LOOKUP(2,1/(([1]العمليات!$B$2:$B$1000=A347)*([1]العمليات!$I$2:$I$1000&lt;&gt;"")),[1]العمليات!$I$2:$I$1000),""))</f>
        <v>1</v>
      </c>
    </row>
    <row r="348" spans="1:5" x14ac:dyDescent="0.35">
      <c r="A348" s="3" t="s">
        <v>743</v>
      </c>
      <c r="B348" s="3" t="s">
        <v>744</v>
      </c>
      <c r="C348" s="4">
        <f>SUMIFS([1]العمليات!G:G, [1]العمليات!B:B, A348, [1]العمليات!C:C, "إدخال") - SUMIFS([1]العمليات!G:G, [1]العمليات!B:B, A348, [1]العمليات!C:C, "إخراج")</f>
        <v>0</v>
      </c>
      <c r="D348" s="3" t="str">
        <f>IF(A348="","",IFERROR(LOOKUP(2,1/(([1]العمليات!$B$2:$B$1000=A348)*([1]العمليات!$H$2:$H$1000&lt;&gt;"")),[1]العمليات!$H$2:$H$1000),""))</f>
        <v/>
      </c>
      <c r="E348" s="3" t="str">
        <f>IF(A348="","",IFERROR(LOOKUP(2,1/(([1]العمليات!$B$2:$B$1000=A348)*([1]العمليات!$I$2:$I$1000&lt;&gt;"")),[1]العمليات!$I$2:$I$1000),""))</f>
        <v/>
      </c>
    </row>
    <row r="349" spans="1:5" x14ac:dyDescent="0.35">
      <c r="A349" s="5" t="s">
        <v>333</v>
      </c>
      <c r="B349" s="5" t="s">
        <v>334</v>
      </c>
      <c r="C349" s="6">
        <f>SUMIFS([1]العمليات!G:G, [1]العمليات!B:B, A349, [1]العمليات!C:C, "إدخال") - SUMIFS([1]العمليات!G:G, [1]العمليات!B:B, A349, [1]العمليات!C:C, "إخراج")</f>
        <v>1612</v>
      </c>
      <c r="D349" s="5">
        <f>IF(A349="","",IFERROR(LOOKUP(2,1/(([1]العمليات!$B$2:$B$1000=A349)*([1]العمليات!$H$2:$H$1000&lt;&gt;"")),[1]العمليات!$H$2:$H$1000),""))</f>
        <v>5</v>
      </c>
      <c r="E349" s="5">
        <f>IF(A349="","",IFERROR(LOOKUP(2,1/(([1]العمليات!$B$2:$B$1000=A349)*([1]العمليات!$I$2:$I$1000&lt;&gt;"")),[1]العمليات!$I$2:$I$1000),""))</f>
        <v>4</v>
      </c>
    </row>
    <row r="350" spans="1:5" x14ac:dyDescent="0.35">
      <c r="A350" s="3" t="s">
        <v>745</v>
      </c>
      <c r="B350" s="3" t="s">
        <v>746</v>
      </c>
      <c r="C350" s="4">
        <f>SUMIFS([1]العمليات!G:G, [1]العمليات!B:B, A350, [1]العمليات!C:C, "إدخال") - SUMIFS([1]العمليات!G:G, [1]العمليات!B:B, A350, [1]العمليات!C:C, "إخراج")</f>
        <v>0</v>
      </c>
      <c r="D350" s="3" t="str">
        <f>IF(A350="","",IFERROR(LOOKUP(2,1/(([1]العمليات!$B$2:$B$1000=A350)*([1]العمليات!$H$2:$H$1000&lt;&gt;"")),[1]العمليات!$H$2:$H$1000),""))</f>
        <v/>
      </c>
      <c r="E350" s="3" t="str">
        <f>IF(A350="","",IFERROR(LOOKUP(2,1/(([1]العمليات!$B$2:$B$1000=A350)*([1]العمليات!$I$2:$I$1000&lt;&gt;"")),[1]العمليات!$I$2:$I$1000),""))</f>
        <v/>
      </c>
    </row>
    <row r="351" spans="1:5" x14ac:dyDescent="0.35">
      <c r="A351" s="5" t="s">
        <v>747</v>
      </c>
      <c r="B351" s="5" t="s">
        <v>748</v>
      </c>
      <c r="C351" s="6">
        <f>SUMIFS([1]العمليات!G:G, [1]العمليات!B:B, A351, [1]العمليات!C:C, "إدخال") - SUMIFS([1]العمليات!G:G, [1]العمليات!B:B, A351, [1]العمليات!C:C, "إخراج")</f>
        <v>0</v>
      </c>
      <c r="D351" s="5" t="str">
        <f>IF(A351="","",IFERROR(LOOKUP(2,1/(([1]العمليات!$B$2:$B$1000=A351)*([1]العمليات!$H$2:$H$1000&lt;&gt;"")),[1]العمليات!$H$2:$H$1000),""))</f>
        <v/>
      </c>
      <c r="E351" s="5" t="str">
        <f>IF(A351="","",IFERROR(LOOKUP(2,1/(([1]العمليات!$B$2:$B$1000=A351)*([1]العمليات!$I$2:$I$1000&lt;&gt;"")),[1]العمليات!$I$2:$I$1000),""))</f>
        <v/>
      </c>
    </row>
    <row r="352" spans="1:5" x14ac:dyDescent="0.35">
      <c r="A352" s="3" t="s">
        <v>335</v>
      </c>
      <c r="B352" s="3" t="s">
        <v>336</v>
      </c>
      <c r="C352" s="4">
        <f>SUMIFS([1]العمليات!G:G, [1]العمليات!B:B, A352, [1]العمليات!C:C, "إدخال") - SUMIFS([1]العمليات!G:G, [1]العمليات!B:B, A352, [1]العمليات!C:C, "إخراج")</f>
        <v>1000</v>
      </c>
      <c r="D352" s="3">
        <f>IF(A352="","",IFERROR(LOOKUP(2,1/(([1]العمليات!$B$2:$B$1000=A352)*([1]العمليات!$H$2:$H$1000&lt;&gt;"")),[1]العمليات!$H$2:$H$1000),""))</f>
        <v>3</v>
      </c>
      <c r="E352" s="3">
        <f>IF(A352="","",IFERROR(LOOKUP(2,1/(([1]العمليات!$B$2:$B$1000=A352)*([1]العمليات!$I$2:$I$1000&lt;&gt;"")),[1]العمليات!$I$2:$I$1000),""))</f>
        <v>3</v>
      </c>
    </row>
    <row r="353" spans="1:5" x14ac:dyDescent="0.35">
      <c r="A353" s="5" t="s">
        <v>337</v>
      </c>
      <c r="B353" s="5" t="s">
        <v>338</v>
      </c>
      <c r="C353" s="6">
        <f>SUMIFS([1]العمليات!G:G, [1]العمليات!B:B, A353, [1]العمليات!C:C, "إدخال") - SUMIFS([1]العمليات!G:G, [1]العمليات!B:B, A353, [1]العمليات!C:C, "إخراج")</f>
        <v>766</v>
      </c>
      <c r="D353" s="5">
        <f>IF(A353="","",IFERROR(LOOKUP(2,1/(([1]العمليات!$B$2:$B$1000=A353)*([1]العمليات!$H$2:$H$1000&lt;&gt;"")),[1]العمليات!$H$2:$H$1000),""))</f>
        <v>1</v>
      </c>
      <c r="E353" s="5">
        <f>IF(A353="","",IFERROR(LOOKUP(2,1/(([1]العمليات!$B$2:$B$1000=A353)*([1]العمليات!$I$2:$I$1000&lt;&gt;"")),[1]العمليات!$I$2:$I$1000),""))</f>
        <v>6</v>
      </c>
    </row>
    <row r="354" spans="1:5" x14ac:dyDescent="0.35">
      <c r="A354" s="3" t="s">
        <v>339</v>
      </c>
      <c r="B354" s="3" t="s">
        <v>340</v>
      </c>
      <c r="C354" s="4">
        <f>SUMIFS([1]العمليات!G:G, [1]العمليات!B:B, A354, [1]العمليات!C:C, "إدخال") - SUMIFS([1]العمليات!G:G, [1]العمليات!B:B, A354, [1]العمليات!C:C, "إخراج")</f>
        <v>598</v>
      </c>
      <c r="D354" s="3">
        <f>IF(A354="","",IFERROR(LOOKUP(2,1/(([1]العمليات!$B$2:$B$1000=A354)*([1]العمليات!$H$2:$H$1000&lt;&gt;"")),[1]العمليات!$H$2:$H$1000),""))</f>
        <v>2</v>
      </c>
      <c r="E354" s="3">
        <f>IF(A354="","",IFERROR(LOOKUP(2,1/(([1]العمليات!$B$2:$B$1000=A354)*([1]العمليات!$I$2:$I$1000&lt;&gt;"")),[1]العمليات!$I$2:$I$1000),""))</f>
        <v>1</v>
      </c>
    </row>
    <row r="355" spans="1:5" x14ac:dyDescent="0.35">
      <c r="A355" s="5" t="s">
        <v>749</v>
      </c>
      <c r="B355" s="5" t="s">
        <v>750</v>
      </c>
      <c r="C355" s="6">
        <f>SUMIFS([1]العمليات!G:G, [1]العمليات!B:B, A355, [1]العمليات!C:C, "إدخال") - SUMIFS([1]العمليات!G:G, [1]العمليات!B:B, A355, [1]العمليات!C:C, "إخراج")</f>
        <v>0</v>
      </c>
      <c r="D355" s="5" t="str">
        <f>IF(A355="","",IFERROR(LOOKUP(2,1/(([1]العمليات!$B$2:$B$1000=A355)*([1]العمليات!$H$2:$H$1000&lt;&gt;"")),[1]العمليات!$H$2:$H$1000),""))</f>
        <v/>
      </c>
      <c r="E355" s="5" t="str">
        <f>IF(A355="","",IFERROR(LOOKUP(2,1/(([1]العمليات!$B$2:$B$1000=A355)*([1]العمليات!$I$2:$I$1000&lt;&gt;"")),[1]العمليات!$I$2:$I$1000),""))</f>
        <v/>
      </c>
    </row>
    <row r="356" spans="1:5" x14ac:dyDescent="0.35">
      <c r="A356" s="3" t="s">
        <v>341</v>
      </c>
      <c r="B356" s="3" t="s">
        <v>342</v>
      </c>
      <c r="C356" s="4">
        <f>SUMIFS([1]العمليات!G:G, [1]العمليات!B:B, A356, [1]العمليات!C:C, "إدخال") - SUMIFS([1]العمليات!G:G, [1]العمليات!B:B, A356, [1]العمليات!C:C, "إخراج")</f>
        <v>147</v>
      </c>
      <c r="D356" s="3">
        <f>IF(A356="","",IFERROR(LOOKUP(2,1/(([1]العمليات!$B$2:$B$1000=A356)*([1]العمليات!$H$2:$H$1000&lt;&gt;"")),[1]العمليات!$H$2:$H$1000),""))</f>
        <v>6</v>
      </c>
      <c r="E356" s="3">
        <f>IF(A356="","",IFERROR(LOOKUP(2,1/(([1]العمليات!$B$2:$B$1000=A356)*([1]العمليات!$I$2:$I$1000&lt;&gt;"")),[1]العمليات!$I$2:$I$1000),""))</f>
        <v>1</v>
      </c>
    </row>
    <row r="357" spans="1:5" x14ac:dyDescent="0.35">
      <c r="A357" s="5" t="s">
        <v>343</v>
      </c>
      <c r="B357" s="5" t="s">
        <v>344</v>
      </c>
      <c r="C357" s="6">
        <f>SUMIFS([1]العمليات!G:G, [1]العمليات!B:B, A357, [1]العمليات!C:C, "إدخال") - SUMIFS([1]العمليات!G:G, [1]العمليات!B:B, A357, [1]العمليات!C:C, "إخراج")</f>
        <v>605</v>
      </c>
      <c r="D357" s="5">
        <f>IF(A357="","",IFERROR(LOOKUP(2,1/(([1]العمليات!$B$2:$B$1000=A357)*([1]العمليات!$H$2:$H$1000&lt;&gt;"")),[1]العمليات!$H$2:$H$1000),""))</f>
        <v>2</v>
      </c>
      <c r="E357" s="5">
        <f>IF(A357="","",IFERROR(LOOKUP(2,1/(([1]العمليات!$B$2:$B$1000=A357)*([1]العمليات!$I$2:$I$1000&lt;&gt;"")),[1]العمليات!$I$2:$I$1000),""))</f>
        <v>6</v>
      </c>
    </row>
    <row r="358" spans="1:5" x14ac:dyDescent="0.35">
      <c r="A358" s="3" t="s">
        <v>345</v>
      </c>
      <c r="B358" s="3" t="s">
        <v>346</v>
      </c>
      <c r="C358" s="4">
        <f>SUMIFS([1]العمليات!G:G, [1]العمليات!B:B, A358, [1]العمليات!C:C, "إدخال") - SUMIFS([1]العمليات!G:G, [1]العمليات!B:B, A358, [1]العمليات!C:C, "إخراج")</f>
        <v>322</v>
      </c>
      <c r="D358" s="3">
        <f>IF(A358="","",IFERROR(LOOKUP(2,1/(([1]العمليات!$B$2:$B$1000=A358)*([1]العمليات!$H$2:$H$1000&lt;&gt;"")),[1]العمليات!$H$2:$H$1000),""))</f>
        <v>6</v>
      </c>
      <c r="E358" s="3">
        <f>IF(A358="","",IFERROR(LOOKUP(2,1/(([1]العمليات!$B$2:$B$1000=A358)*([1]العمليات!$I$2:$I$1000&lt;&gt;"")),[1]العمليات!$I$2:$I$1000),""))</f>
        <v>2</v>
      </c>
    </row>
    <row r="359" spans="1:5" x14ac:dyDescent="0.35">
      <c r="A359" s="5" t="s">
        <v>347</v>
      </c>
      <c r="B359" s="5" t="s">
        <v>348</v>
      </c>
      <c r="C359" s="6">
        <f>SUMIFS([1]العمليات!G:G, [1]العمليات!B:B, A359, [1]العمليات!C:C, "إدخال") - SUMIFS([1]العمليات!G:G, [1]العمليات!B:B, A359, [1]العمليات!C:C, "إخراج")</f>
        <v>320</v>
      </c>
      <c r="D359" s="5" t="str">
        <f>IF(A359="","",IFERROR(LOOKUP(2,1/(([1]العمليات!$B$2:$B$1000=A359)*([1]العمليات!$H$2:$H$1000&lt;&gt;"")),[1]العمليات!$H$2:$H$1000),""))</f>
        <v>مختوم ومسك</v>
      </c>
      <c r="E359" s="5" t="str">
        <f>IF(A359="","",IFERROR(LOOKUP(2,1/(([1]العمليات!$B$2:$B$1000=A359)*([1]العمليات!$I$2:$I$1000&lt;&gt;"")),[1]العمليات!$I$2:$I$1000),""))</f>
        <v>-</v>
      </c>
    </row>
    <row r="360" spans="1:5" x14ac:dyDescent="0.35">
      <c r="A360" s="3" t="s">
        <v>751</v>
      </c>
      <c r="B360" s="3" t="s">
        <v>752</v>
      </c>
      <c r="C360" s="4">
        <f>SUMIFS([1]العمليات!G:G, [1]العمليات!B:B, A360, [1]العمليات!C:C, "إدخال") - SUMIFS([1]العمليات!G:G, [1]العمليات!B:B, A360, [1]العمليات!C:C, "إخراج")</f>
        <v>0</v>
      </c>
      <c r="D360" s="3" t="str">
        <f>IF(A360="","",IFERROR(LOOKUP(2,1/(([1]العمليات!$B$2:$B$1000=A360)*([1]العمليات!$H$2:$H$1000&lt;&gt;"")),[1]العمليات!$H$2:$H$1000),""))</f>
        <v/>
      </c>
      <c r="E360" s="3" t="str">
        <f>IF(A360="","",IFERROR(LOOKUP(2,1/(([1]العمليات!$B$2:$B$1000=A360)*([1]العمليات!$I$2:$I$1000&lt;&gt;"")),[1]العمليات!$I$2:$I$1000),""))</f>
        <v/>
      </c>
    </row>
    <row r="361" spans="1:5" x14ac:dyDescent="0.35">
      <c r="A361" s="5" t="s">
        <v>753</v>
      </c>
      <c r="B361" s="5" t="s">
        <v>754</v>
      </c>
      <c r="C361" s="6">
        <f>SUMIFS([1]العمليات!G:G, [1]العمليات!B:B, A361, [1]العمليات!C:C, "إدخال") - SUMIFS([1]العمليات!G:G, [1]العمليات!B:B, A361, [1]العمليات!C:C, "إخراج")</f>
        <v>0</v>
      </c>
      <c r="D361" s="5" t="str">
        <f>IF(A361="","",IFERROR(LOOKUP(2,1/(([1]العمليات!$B$2:$B$1000=A361)*([1]العمليات!$H$2:$H$1000&lt;&gt;"")),[1]العمليات!$H$2:$H$1000),""))</f>
        <v/>
      </c>
      <c r="E361" s="5" t="str">
        <f>IF(A361="","",IFERROR(LOOKUP(2,1/(([1]العمليات!$B$2:$B$1000=A361)*([1]العمليات!$I$2:$I$1000&lt;&gt;"")),[1]العمليات!$I$2:$I$1000),""))</f>
        <v/>
      </c>
    </row>
    <row r="362" spans="1:5" x14ac:dyDescent="0.35">
      <c r="A362" s="3" t="s">
        <v>349</v>
      </c>
      <c r="B362" s="3" t="s">
        <v>350</v>
      </c>
      <c r="C362" s="4">
        <f>SUMIFS([1]العمليات!G:G, [1]العمليات!B:B, A362, [1]العمليات!C:C, "إدخال") - SUMIFS([1]العمليات!G:G, [1]العمليات!B:B, A362, [1]العمليات!C:C, "إخراج")</f>
        <v>624</v>
      </c>
      <c r="D362" s="3">
        <f>IF(A362="","",IFERROR(LOOKUP(2,1/(([1]العمليات!$B$2:$B$1000=A362)*([1]العمليات!$H$2:$H$1000&lt;&gt;"")),[1]العمليات!$H$2:$H$1000),""))</f>
        <v>4</v>
      </c>
      <c r="E362" s="3">
        <f>IF(A362="","",IFERROR(LOOKUP(2,1/(([1]العمليات!$B$2:$B$1000=A362)*([1]العمليات!$I$2:$I$1000&lt;&gt;"")),[1]العمليات!$I$2:$I$1000),""))</f>
        <v>4</v>
      </c>
    </row>
    <row r="363" spans="1:5" x14ac:dyDescent="0.35">
      <c r="A363" s="5" t="s">
        <v>351</v>
      </c>
      <c r="B363" s="5" t="s">
        <v>352</v>
      </c>
      <c r="C363" s="6">
        <f>SUMIFS([1]العمليات!G:G, [1]العمليات!B:B, A363, [1]العمليات!C:C, "إدخال") - SUMIFS([1]العمليات!G:G, [1]العمليات!B:B, A363, [1]العمليات!C:C, "إخراج")</f>
        <v>325</v>
      </c>
      <c r="D363" s="5">
        <f>IF(A363="","",IFERROR(LOOKUP(2,1/(([1]العمليات!$B$2:$B$1000=A363)*([1]العمليات!$H$2:$H$1000&lt;&gt;"")),[1]العمليات!$H$2:$H$1000),""))</f>
        <v>3</v>
      </c>
      <c r="E363" s="5">
        <f>IF(A363="","",IFERROR(LOOKUP(2,1/(([1]العمليات!$B$2:$B$1000=A363)*([1]العمليات!$I$2:$I$1000&lt;&gt;"")),[1]العمليات!$I$2:$I$1000),""))</f>
        <v>1</v>
      </c>
    </row>
    <row r="364" spans="1:5" x14ac:dyDescent="0.35">
      <c r="A364" s="3" t="s">
        <v>353</v>
      </c>
      <c r="B364" s="3" t="s">
        <v>354</v>
      </c>
      <c r="C364" s="4">
        <f>SUMIFS([1]العمليات!G:G, [1]العمليات!B:B, A364, [1]العمليات!C:C, "إدخال") - SUMIFS([1]العمليات!G:G, [1]العمليات!B:B, A364, [1]العمليات!C:C, "إخراج")</f>
        <v>1000</v>
      </c>
      <c r="D364" s="3">
        <f>IF(A364="","",IFERROR(LOOKUP(2,1/(([1]العمليات!$B$2:$B$1000=A364)*([1]العمليات!$H$2:$H$1000&lt;&gt;"")),[1]العمليات!$H$2:$H$1000),""))</f>
        <v>4</v>
      </c>
      <c r="E364" s="3">
        <f>IF(A364="","",IFERROR(LOOKUP(2,1/(([1]العمليات!$B$2:$B$1000=A364)*([1]العمليات!$I$2:$I$1000&lt;&gt;"")),[1]العمليات!$I$2:$I$1000),""))</f>
        <v>1</v>
      </c>
    </row>
    <row r="365" spans="1:5" x14ac:dyDescent="0.35">
      <c r="A365" s="5" t="s">
        <v>755</v>
      </c>
      <c r="B365" s="5" t="s">
        <v>756</v>
      </c>
      <c r="C365" s="6">
        <f>SUMIFS([1]العمليات!G:G, [1]العمليات!B:B, A365, [1]العمليات!C:C, "إدخال") - SUMIFS([1]العمليات!G:G, [1]العمليات!B:B, A365, [1]العمليات!C:C, "إخراج")</f>
        <v>0</v>
      </c>
      <c r="D365" s="5" t="str">
        <f>IF(A365="","",IFERROR(LOOKUP(2,1/(([1]العمليات!$B$2:$B$1000=A365)*([1]العمليات!$H$2:$H$1000&lt;&gt;"")),[1]العمليات!$H$2:$H$1000),""))</f>
        <v/>
      </c>
      <c r="E365" s="5" t="str">
        <f>IF(A365="","",IFERROR(LOOKUP(2,1/(([1]العمليات!$B$2:$B$1000=A365)*([1]العمليات!$I$2:$I$1000&lt;&gt;"")),[1]العمليات!$I$2:$I$1000),""))</f>
        <v/>
      </c>
    </row>
    <row r="366" spans="1:5" x14ac:dyDescent="0.35">
      <c r="A366" s="3" t="s">
        <v>757</v>
      </c>
      <c r="B366" s="3" t="s">
        <v>758</v>
      </c>
      <c r="C366" s="4">
        <f>SUMIFS([1]العمليات!G:G, [1]العمليات!B:B, A366, [1]العمليات!C:C, "إدخال") - SUMIFS([1]العمليات!G:G, [1]العمليات!B:B, A366, [1]العمليات!C:C, "إخراج")</f>
        <v>0</v>
      </c>
      <c r="D366" s="3" t="str">
        <f>IF(A366="","",IFERROR(LOOKUP(2,1/(([1]العمليات!$B$2:$B$1000=A366)*([1]العمليات!$H$2:$H$1000&lt;&gt;"")),[1]العمليات!$H$2:$H$1000),""))</f>
        <v/>
      </c>
      <c r="E366" s="3" t="str">
        <f>IF(A366="","",IFERROR(LOOKUP(2,1/(([1]العمليات!$B$2:$B$1000=A366)*([1]العمليات!$I$2:$I$1000&lt;&gt;"")),[1]العمليات!$I$2:$I$1000),""))</f>
        <v/>
      </c>
    </row>
    <row r="367" spans="1:5" x14ac:dyDescent="0.35">
      <c r="A367" s="5" t="s">
        <v>355</v>
      </c>
      <c r="B367" s="5" t="s">
        <v>356</v>
      </c>
      <c r="C367" s="6">
        <f>SUMIFS([1]العمليات!G:G, [1]العمليات!B:B, A367, [1]العمليات!C:C, "إدخال") - SUMIFS([1]العمليات!G:G, [1]العمليات!B:B, A367, [1]العمليات!C:C, "إخراج")</f>
        <v>603</v>
      </c>
      <c r="D367" s="5">
        <f>IF(A367="","",IFERROR(LOOKUP(2,1/(([1]العمليات!$B$2:$B$1000=A367)*([1]العمليات!$H$2:$H$1000&lt;&gt;"")),[1]العمليات!$H$2:$H$1000),""))</f>
        <v>1</v>
      </c>
      <c r="E367" s="5">
        <f>IF(A367="","",IFERROR(LOOKUP(2,1/(([1]العمليات!$B$2:$B$1000=A367)*([1]العمليات!$I$2:$I$1000&lt;&gt;"")),[1]العمليات!$I$2:$I$1000),""))</f>
        <v>5</v>
      </c>
    </row>
    <row r="368" spans="1:5" x14ac:dyDescent="0.35">
      <c r="A368" s="3" t="s">
        <v>357</v>
      </c>
      <c r="B368" s="3" t="s">
        <v>358</v>
      </c>
      <c r="C368" s="4">
        <f>SUMIFS([1]العمليات!G:G, [1]العمليات!B:B, A368, [1]العمليات!C:C, "إدخال") - SUMIFS([1]العمليات!G:G, [1]العمليات!B:B, A368, [1]العمليات!C:C, "إخراج")</f>
        <v>66</v>
      </c>
      <c r="D368" s="3">
        <f>IF(A368="","",IFERROR(LOOKUP(2,1/(([1]العمليات!$B$2:$B$1000=A368)*([1]العمليات!$H$2:$H$1000&lt;&gt;"")),[1]العمليات!$H$2:$H$1000),""))</f>
        <v>6</v>
      </c>
      <c r="E368" s="3">
        <f>IF(A368="","",IFERROR(LOOKUP(2,1/(([1]العمليات!$B$2:$B$1000=A368)*([1]العمليات!$I$2:$I$1000&lt;&gt;"")),[1]العمليات!$I$2:$I$1000),""))</f>
        <v>2</v>
      </c>
    </row>
    <row r="369" spans="1:5" x14ac:dyDescent="0.35">
      <c r="A369" s="5" t="s">
        <v>359</v>
      </c>
      <c r="B369" s="5" t="s">
        <v>360</v>
      </c>
      <c r="C369" s="6">
        <f>SUMIFS([1]العمليات!G:G, [1]العمليات!B:B, A369, [1]العمليات!C:C, "إدخال") - SUMIFS([1]العمليات!G:G, [1]العمليات!B:B, A369, [1]العمليات!C:C, "إخراج")</f>
        <v>113</v>
      </c>
      <c r="D369" s="5">
        <f>IF(A369="","",IFERROR(LOOKUP(2,1/(([1]العمليات!$B$2:$B$1000=A369)*([1]العمليات!$H$2:$H$1000&lt;&gt;"")),[1]العمليات!$H$2:$H$1000),""))</f>
        <v>3</v>
      </c>
      <c r="E369" s="5">
        <f>IF(A369="","",IFERROR(LOOKUP(2,1/(([1]العمليات!$B$2:$B$1000=A369)*([1]العمليات!$I$2:$I$1000&lt;&gt;"")),[1]العمليات!$I$2:$I$1000),""))</f>
        <v>4</v>
      </c>
    </row>
    <row r="370" spans="1:5" x14ac:dyDescent="0.35">
      <c r="A370" s="3" t="s">
        <v>361</v>
      </c>
      <c r="B370" s="3" t="s">
        <v>362</v>
      </c>
      <c r="C370" s="4">
        <f>SUMIFS([1]العمليات!G:G, [1]العمليات!B:B, A370, [1]العمليات!C:C, "إدخال") - SUMIFS([1]العمليات!G:G, [1]العمليات!B:B, A370, [1]العمليات!C:C, "إخراج")</f>
        <v>159</v>
      </c>
      <c r="D370" s="3">
        <f>IF(A370="","",IFERROR(LOOKUP(2,1/(([1]العمليات!$B$2:$B$1000=A370)*([1]العمليات!$H$2:$H$1000&lt;&gt;"")),[1]العمليات!$H$2:$H$1000),""))</f>
        <v>6</v>
      </c>
      <c r="E370" s="3">
        <f>IF(A370="","",IFERROR(LOOKUP(2,1/(([1]العمليات!$B$2:$B$1000=A370)*([1]العمليات!$I$2:$I$1000&lt;&gt;"")),[1]العمليات!$I$2:$I$1000),""))</f>
        <v>1</v>
      </c>
    </row>
    <row r="371" spans="1:5" x14ac:dyDescent="0.35">
      <c r="A371" s="5" t="s">
        <v>759</v>
      </c>
      <c r="B371" s="5" t="s">
        <v>760</v>
      </c>
      <c r="C371" s="6">
        <f>SUMIFS([1]العمليات!G:G, [1]العمليات!B:B, A371, [1]العمليات!C:C, "إدخال") - SUMIFS([1]العمليات!G:G, [1]العمليات!B:B, A371, [1]العمليات!C:C, "إخراج")</f>
        <v>0</v>
      </c>
      <c r="D371" s="5" t="str">
        <f>IF(A371="","",IFERROR(LOOKUP(2,1/(([1]العمليات!$B$2:$B$1000=A371)*([1]العمليات!$H$2:$H$1000&lt;&gt;"")),[1]العمليات!$H$2:$H$1000),""))</f>
        <v/>
      </c>
      <c r="E371" s="5" t="str">
        <f>IF(A371="","",IFERROR(LOOKUP(2,1/(([1]العمليات!$B$2:$B$1000=A371)*([1]العمليات!$I$2:$I$1000&lt;&gt;"")),[1]العمليات!$I$2:$I$1000),""))</f>
        <v/>
      </c>
    </row>
    <row r="372" spans="1:5" x14ac:dyDescent="0.35">
      <c r="A372" s="3" t="s">
        <v>363</v>
      </c>
      <c r="B372" s="3" t="s">
        <v>364</v>
      </c>
      <c r="C372" s="4">
        <f>SUMIFS([1]العمليات!G:G, [1]العمليات!B:B, A372, [1]العمليات!C:C, "إدخال") - SUMIFS([1]العمليات!G:G, [1]العمليات!B:B, A372, [1]العمليات!C:C, "إخراج")</f>
        <v>1054</v>
      </c>
      <c r="D372" s="3">
        <f>IF(A372="","",IFERROR(LOOKUP(2,1/(([1]العمليات!$B$2:$B$1000=A372)*([1]العمليات!$H$2:$H$1000&lt;&gt;"")),[1]العمليات!$H$2:$H$1000),""))</f>
        <v>1</v>
      </c>
      <c r="E372" s="3">
        <f>IF(A372="","",IFERROR(LOOKUP(2,1/(([1]العمليات!$B$2:$B$1000=A372)*([1]العمليات!$I$2:$I$1000&lt;&gt;"")),[1]العمليات!$I$2:$I$1000),""))</f>
        <v>2</v>
      </c>
    </row>
    <row r="373" spans="1:5" x14ac:dyDescent="0.35">
      <c r="A373" s="5" t="s">
        <v>365</v>
      </c>
      <c r="B373" s="5" t="s">
        <v>366</v>
      </c>
      <c r="C373" s="6">
        <f>SUMIFS([1]العمليات!G:G, [1]العمليات!B:B, A373, [1]العمليات!C:C, "إدخال") - SUMIFS([1]العمليات!G:G, [1]العمليات!B:B, A373, [1]العمليات!C:C, "إخراج")</f>
        <v>290</v>
      </c>
      <c r="D373" s="5" t="str">
        <f>IF(A373="","",IFERROR(LOOKUP(2,1/(([1]العمليات!$B$2:$B$1000=A373)*([1]العمليات!$H$2:$H$1000&lt;&gt;"")),[1]العمليات!$H$2:$H$1000),""))</f>
        <v>مختوم ومسك</v>
      </c>
      <c r="E373" s="5" t="str">
        <f>IF(A373="","",IFERROR(LOOKUP(2,1/(([1]العمليات!$B$2:$B$1000=A373)*([1]العمليات!$I$2:$I$1000&lt;&gt;"")),[1]العمليات!$I$2:$I$1000),""))</f>
        <v>-</v>
      </c>
    </row>
    <row r="374" spans="1:5" x14ac:dyDescent="0.35">
      <c r="A374" s="3" t="s">
        <v>761</v>
      </c>
      <c r="B374" s="3" t="s">
        <v>762</v>
      </c>
      <c r="C374" s="4">
        <f>SUMIFS([1]العمليات!G:G, [1]العمليات!B:B, A374, [1]العمليات!C:C, "إدخال") - SUMIFS([1]العمليات!G:G, [1]العمليات!B:B, A374, [1]العمليات!C:C, "إخراج")</f>
        <v>0</v>
      </c>
      <c r="D374" s="3" t="str">
        <f>IF(A374="","",IFERROR(LOOKUP(2,1/(([1]العمليات!$B$2:$B$1000=A374)*([1]العمليات!$H$2:$H$1000&lt;&gt;"")),[1]العمليات!$H$2:$H$1000),""))</f>
        <v/>
      </c>
      <c r="E374" s="3" t="str">
        <f>IF(A374="","",IFERROR(LOOKUP(2,1/(([1]العمليات!$B$2:$B$1000=A374)*([1]العمليات!$I$2:$I$1000&lt;&gt;"")),[1]العمليات!$I$2:$I$1000),""))</f>
        <v/>
      </c>
    </row>
    <row r="375" spans="1:5" x14ac:dyDescent="0.35">
      <c r="A375" s="5" t="s">
        <v>367</v>
      </c>
      <c r="B375" s="5" t="s">
        <v>368</v>
      </c>
      <c r="C375" s="6">
        <f>SUMIFS([1]العمليات!G:G, [1]العمليات!B:B, A375, [1]العمليات!C:C, "إدخال") - SUMIFS([1]العمليات!G:G, [1]العمليات!B:B, A375, [1]العمليات!C:C, "إخراج")</f>
        <v>251</v>
      </c>
      <c r="D375" s="5">
        <f>IF(A375="","",IFERROR(LOOKUP(2,1/(([1]العمليات!$B$2:$B$1000=A375)*([1]العمليات!$H$2:$H$1000&lt;&gt;"")),[1]العمليات!$H$2:$H$1000),""))</f>
        <v>5</v>
      </c>
      <c r="E375" s="5">
        <f>IF(A375="","",IFERROR(LOOKUP(2,1/(([1]العمليات!$B$2:$B$1000=A375)*([1]العمليات!$I$2:$I$1000&lt;&gt;"")),[1]العمليات!$I$2:$I$1000),""))</f>
        <v>3</v>
      </c>
    </row>
    <row r="376" spans="1:5" x14ac:dyDescent="0.35">
      <c r="A376" s="3" t="s">
        <v>763</v>
      </c>
      <c r="B376" s="3" t="s">
        <v>764</v>
      </c>
      <c r="C376" s="4">
        <f>SUMIFS([1]العمليات!G:G, [1]العمليات!B:B, A376, [1]العمليات!C:C, "إدخال") - SUMIFS([1]العمليات!G:G, [1]العمليات!B:B, A376, [1]العمليات!C:C, "إخراج")</f>
        <v>0</v>
      </c>
      <c r="D376" s="3" t="str">
        <f>IF(A376="","",IFERROR(LOOKUP(2,1/(([1]العمليات!$B$2:$B$1000=A376)*([1]العمليات!$H$2:$H$1000&lt;&gt;"")),[1]العمليات!$H$2:$H$1000),""))</f>
        <v/>
      </c>
      <c r="E376" s="3" t="str">
        <f>IF(A376="","",IFERROR(LOOKUP(2,1/(([1]العمليات!$B$2:$B$1000=A376)*([1]العمليات!$I$2:$I$1000&lt;&gt;"")),[1]العمليات!$I$2:$I$1000),""))</f>
        <v/>
      </c>
    </row>
    <row r="377" spans="1:5" x14ac:dyDescent="0.35">
      <c r="A377" s="5" t="s">
        <v>765</v>
      </c>
      <c r="B377" s="5" t="s">
        <v>766</v>
      </c>
      <c r="C377" s="6">
        <f>SUMIFS([1]العمليات!G:G, [1]العمليات!B:B, A377, [1]العمليات!C:C, "إدخال") - SUMIFS([1]العمليات!G:G, [1]العمليات!B:B, A377, [1]العمليات!C:C, "إخراج")</f>
        <v>0</v>
      </c>
      <c r="D377" s="5" t="str">
        <f>IF(A377="","",IFERROR(LOOKUP(2,1/(([1]العمليات!$B$2:$B$1000=A377)*([1]العمليات!$H$2:$H$1000&lt;&gt;"")),[1]العمليات!$H$2:$H$1000),""))</f>
        <v/>
      </c>
      <c r="E377" s="5" t="str">
        <f>IF(A377="","",IFERROR(LOOKUP(2,1/(([1]العمليات!$B$2:$B$1000=A377)*([1]العمليات!$I$2:$I$1000&lt;&gt;"")),[1]العمليات!$I$2:$I$1000),""))</f>
        <v/>
      </c>
    </row>
    <row r="378" spans="1:5" x14ac:dyDescent="0.35">
      <c r="A378" s="3" t="s">
        <v>369</v>
      </c>
      <c r="B378" s="3" t="s">
        <v>370</v>
      </c>
      <c r="C378" s="4">
        <f>SUMIFS([1]العمليات!G:G, [1]العمليات!B:B, A378, [1]العمليات!C:C, "إدخال") - SUMIFS([1]العمليات!G:G, [1]العمليات!B:B, A378, [1]العمليات!C:C, "إخراج")</f>
        <v>749</v>
      </c>
      <c r="D378" s="3">
        <f>IF(A378="","",IFERROR(LOOKUP(2,1/(([1]العمليات!$B$2:$B$1000=A378)*([1]العمليات!$H$2:$H$1000&lt;&gt;"")),[1]العمليات!$H$2:$H$1000),""))</f>
        <v>2</v>
      </c>
      <c r="E378" s="3">
        <f>IF(A378="","",IFERROR(LOOKUP(2,1/(([1]العمليات!$B$2:$B$1000=A378)*([1]العمليات!$I$2:$I$1000&lt;&gt;"")),[1]العمليات!$I$2:$I$1000),""))</f>
        <v>1</v>
      </c>
    </row>
    <row r="379" spans="1:5" x14ac:dyDescent="0.35">
      <c r="A379" s="5" t="s">
        <v>767</v>
      </c>
      <c r="B379" s="5" t="s">
        <v>768</v>
      </c>
      <c r="C379" s="6">
        <f>SUMIFS([1]العمليات!G:G, [1]العمليات!B:B, A379, [1]العمليات!C:C, "إدخال") - SUMIFS([1]العمليات!G:G, [1]العمليات!B:B, A379, [1]العمليات!C:C, "إخراج")</f>
        <v>0</v>
      </c>
      <c r="D379" s="5" t="str">
        <f>IF(A379="","",IFERROR(LOOKUP(2,1/(([1]العمليات!$B$2:$B$1000=A379)*([1]العمليات!$H$2:$H$1000&lt;&gt;"")),[1]العمليات!$H$2:$H$1000),""))</f>
        <v/>
      </c>
      <c r="E379" s="5" t="str">
        <f>IF(A379="","",IFERROR(LOOKUP(2,1/(([1]العمليات!$B$2:$B$1000=A379)*([1]العمليات!$I$2:$I$1000&lt;&gt;"")),[1]العمليات!$I$2:$I$1000),""))</f>
        <v/>
      </c>
    </row>
    <row r="380" spans="1:5" x14ac:dyDescent="0.35">
      <c r="A380" s="3" t="s">
        <v>371</v>
      </c>
      <c r="B380" s="3" t="s">
        <v>372</v>
      </c>
      <c r="C380" s="4">
        <f>SUMIFS([1]العمليات!G:G, [1]العمليات!B:B, A380, [1]العمليات!C:C, "إدخال") - SUMIFS([1]العمليات!G:G, [1]العمليات!B:B, A380, [1]العمليات!C:C, "إخراج")</f>
        <v>2256</v>
      </c>
      <c r="D380" s="3">
        <f>IF(A380="","",IFERROR(LOOKUP(2,1/(([1]العمليات!$B$2:$B$1000=A380)*([1]العمليات!$H$2:$H$1000&lt;&gt;"")),[1]العمليات!$H$2:$H$1000),""))</f>
        <v>1</v>
      </c>
      <c r="E380" s="3">
        <f>IF(A380="","",IFERROR(LOOKUP(2,1/(([1]العمليات!$B$2:$B$1000=A380)*([1]العمليات!$I$2:$I$1000&lt;&gt;"")),[1]العمليات!$I$2:$I$1000),""))</f>
        <v>1</v>
      </c>
    </row>
    <row r="381" spans="1:5" x14ac:dyDescent="0.35">
      <c r="A381" s="5" t="s">
        <v>769</v>
      </c>
      <c r="B381" s="5" t="s">
        <v>770</v>
      </c>
      <c r="C381" s="6">
        <f>SUMIFS([1]العمليات!G:G, [1]العمليات!B:B, A381, [1]العمليات!C:C, "إدخال") - SUMIFS([1]العمليات!G:G, [1]العمليات!B:B, A381, [1]العمليات!C:C, "إخراج")</f>
        <v>0</v>
      </c>
      <c r="D381" s="5" t="str">
        <f>IF(A381="","",IFERROR(LOOKUP(2,1/(([1]العمليات!$B$2:$B$1000=A381)*([1]العمليات!$H$2:$H$1000&lt;&gt;"")),[1]العمليات!$H$2:$H$1000),""))</f>
        <v/>
      </c>
      <c r="E381" s="5" t="str">
        <f>IF(A381="","",IFERROR(LOOKUP(2,1/(([1]العمليات!$B$2:$B$1000=A381)*([1]العمليات!$I$2:$I$1000&lt;&gt;"")),[1]العمليات!$I$2:$I$1000),""))</f>
        <v/>
      </c>
    </row>
    <row r="382" spans="1:5" x14ac:dyDescent="0.35">
      <c r="A382" s="3" t="s">
        <v>373</v>
      </c>
      <c r="B382" s="3" t="s">
        <v>374</v>
      </c>
      <c r="C382" s="4">
        <f>SUMIFS([1]العمليات!G:G, [1]العمليات!B:B, A382, [1]العمليات!C:C, "إدخال") - SUMIFS([1]العمليات!G:G, [1]العمليات!B:B, A382, [1]العمليات!C:C, "إخراج")</f>
        <v>710</v>
      </c>
      <c r="D382" s="3">
        <f>IF(A382="","",IFERROR(LOOKUP(2,1/(([1]العمليات!$B$2:$B$1000=A382)*([1]العمليات!$H$2:$H$1000&lt;&gt;"")),[1]العمليات!$H$2:$H$1000),""))</f>
        <v>5</v>
      </c>
      <c r="E382" s="3">
        <f>IF(A382="","",IFERROR(LOOKUP(2,1/(([1]العمليات!$B$2:$B$1000=A382)*([1]العمليات!$I$2:$I$1000&lt;&gt;"")),[1]العمليات!$I$2:$I$1000),""))</f>
        <v>2</v>
      </c>
    </row>
    <row r="383" spans="1:5" x14ac:dyDescent="0.35">
      <c r="A383" s="5" t="s">
        <v>375</v>
      </c>
      <c r="B383" s="5" t="s">
        <v>376</v>
      </c>
      <c r="C383" s="6">
        <f>SUMIFS([1]العمليات!G:G, [1]العمليات!B:B, A383, [1]العمليات!C:C, "إدخال") - SUMIFS([1]العمليات!G:G, [1]العمليات!B:B, A383, [1]العمليات!C:C, "إخراج")</f>
        <v>249</v>
      </c>
      <c r="D383" s="5">
        <f>IF(A383="","",IFERROR(LOOKUP(2,1/(([1]العمليات!$B$2:$B$1000=A383)*([1]العمليات!$H$2:$H$1000&lt;&gt;"")),[1]العمليات!$H$2:$H$1000),""))</f>
        <v>4</v>
      </c>
      <c r="E383" s="5">
        <f>IF(A383="","",IFERROR(LOOKUP(2,1/(([1]العمليات!$B$2:$B$1000=A383)*([1]العمليات!$I$2:$I$1000&lt;&gt;"")),[1]العمليات!$I$2:$I$1000),""))</f>
        <v>5</v>
      </c>
    </row>
    <row r="384" spans="1:5" x14ac:dyDescent="0.35">
      <c r="A384" s="3" t="s">
        <v>771</v>
      </c>
      <c r="B384" s="3" t="s">
        <v>772</v>
      </c>
      <c r="C384" s="4">
        <f>SUMIFS([1]العمليات!G:G, [1]العمليات!B:B, A384, [1]العمليات!C:C, "إدخال") - SUMIFS([1]العمليات!G:G, [1]العمليات!B:B, A384, [1]العمليات!C:C, "إخراج")</f>
        <v>0</v>
      </c>
      <c r="D384" s="3" t="str">
        <f>IF(A384="","",IFERROR(LOOKUP(2,1/(([1]العمليات!$B$2:$B$1000=A384)*([1]العمليات!$H$2:$H$1000&lt;&gt;"")),[1]العمليات!$H$2:$H$1000),""))</f>
        <v/>
      </c>
      <c r="E384" s="3" t="str">
        <f>IF(A384="","",IFERROR(LOOKUP(2,1/(([1]العمليات!$B$2:$B$1000=A384)*([1]العمليات!$I$2:$I$1000&lt;&gt;"")),[1]العمليات!$I$2:$I$1000),""))</f>
        <v/>
      </c>
    </row>
    <row r="385" spans="1:5" x14ac:dyDescent="0.35">
      <c r="A385" s="5" t="s">
        <v>773</v>
      </c>
      <c r="B385" s="5" t="s">
        <v>774</v>
      </c>
      <c r="C385" s="6">
        <f>SUMIFS([1]العمليات!G:G, [1]العمليات!B:B, A385, [1]العمليات!C:C, "إدخال") - SUMIFS([1]العمليات!G:G, [1]العمليات!B:B, A385, [1]العمليات!C:C, "إخراج")</f>
        <v>0</v>
      </c>
      <c r="D385" s="5" t="str">
        <f>IF(A385="","",IFERROR(LOOKUP(2,1/(([1]العمليات!$B$2:$B$1000=A385)*([1]العمليات!$H$2:$H$1000&lt;&gt;"")),[1]العمليات!$H$2:$H$1000),""))</f>
        <v/>
      </c>
      <c r="E385" s="5" t="str">
        <f>IF(A385="","",IFERROR(LOOKUP(2,1/(([1]العمليات!$B$2:$B$1000=A385)*([1]العمليات!$I$2:$I$1000&lt;&gt;"")),[1]العمليات!$I$2:$I$1000),""))</f>
        <v/>
      </c>
    </row>
    <row r="386" spans="1:5" x14ac:dyDescent="0.35">
      <c r="A386" s="3" t="s">
        <v>775</v>
      </c>
      <c r="B386" s="3" t="s">
        <v>776</v>
      </c>
      <c r="C386" s="4">
        <f>SUMIFS([1]العمليات!G:G, [1]العمليات!B:B, A386, [1]العمليات!C:C, "إدخال") - SUMIFS([1]العمليات!G:G, [1]العمليات!B:B, A386, [1]العمليات!C:C, "إخراج")</f>
        <v>0</v>
      </c>
      <c r="D386" s="3" t="str">
        <f>IF(A386="","",IFERROR(LOOKUP(2,1/(([1]العمليات!$B$2:$B$1000=A386)*([1]العمليات!$H$2:$H$1000&lt;&gt;"")),[1]العمليات!$H$2:$H$1000),""))</f>
        <v/>
      </c>
      <c r="E386" s="3" t="str">
        <f>IF(A386="","",IFERROR(LOOKUP(2,1/(([1]العمليات!$B$2:$B$1000=A386)*([1]العمليات!$I$2:$I$1000&lt;&gt;"")),[1]العمليات!$I$2:$I$1000),""))</f>
        <v/>
      </c>
    </row>
    <row r="387" spans="1:5" x14ac:dyDescent="0.35">
      <c r="A387" s="5" t="s">
        <v>377</v>
      </c>
      <c r="B387" s="5" t="s">
        <v>378</v>
      </c>
      <c r="C387" s="6">
        <f>SUMIFS([1]العمليات!G:G, [1]العمليات!B:B, A387, [1]العمليات!C:C, "إدخال") - SUMIFS([1]العمليات!G:G, [1]العمليات!B:B, A387, [1]العمليات!C:C, "إخراج")</f>
        <v>505</v>
      </c>
      <c r="D387" s="5">
        <f>IF(A387="","",IFERROR(LOOKUP(2,1/(([1]العمليات!$B$2:$B$1000=A387)*([1]العمليات!$H$2:$H$1000&lt;&gt;"")),[1]العمليات!$H$2:$H$1000),""))</f>
        <v>3</v>
      </c>
      <c r="E387" s="5">
        <f>IF(A387="","",IFERROR(LOOKUP(2,1/(([1]العمليات!$B$2:$B$1000=A387)*([1]العمليات!$I$2:$I$1000&lt;&gt;"")),[1]العمليات!$I$2:$I$1000),""))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2026-08-25T06:10:31Z</dcterms:created>
  <dcterms:modified xsi:type="dcterms:W3CDTF">2026-08-26T08:47:49Z</dcterms:modified>
</cp:coreProperties>
</file>